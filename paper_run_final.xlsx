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hart3.xml" ContentType="application/vnd.openxmlformats-officedocument.drawingml.chart+xml"/>
  <Override PartName="/xl/charts/colors2.xml" ContentType="application/vnd.ms-office.chartcolorstyle+xml"/>
  <Override PartName="/xl/charts/chart1.xml" ContentType="application/vnd.openxmlformats-officedocument.drawingml.chart+xml"/>
  <Override PartName="/xl/charts/style1.xml" ContentType="application/vnd.ms-office.chartstyle+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Trade Log" sheetId="2" state="visible" r:id="rId4"/>
    <sheet name="How It Work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<sst xmlns="http://schemas.openxmlformats.org/spreadsheetml/2006/main" count="414" uniqueCount="143">
  <si>
    <t xml:space="preserve">KALSHI MLB PAPER-TRADING RESULTS</t>
  </si>
  <si>
    <t xml:space="preserve">Simulated (no real money) live trading of MLB moneyline markets on Kalshi. The bot buys a team the moment it gets a hit, walk, or home run — betting the market is slow to react — holds 5 minutes, then sells. See "How It Works" tab.</t>
  </si>
  <si>
    <t xml:space="preserve">Total P&amp;L</t>
  </si>
  <si>
    <t xml:space="preserve">Trades</t>
  </si>
  <si>
    <t xml:space="preserve">Win Rate</t>
  </si>
  <si>
    <t xml:space="preserve">Avg Win</t>
  </si>
  <si>
    <t xml:space="preserve">Avg Loss</t>
  </si>
  <si>
    <t xml:space="preserve">Profit Factor</t>
  </si>
  <si>
    <t xml:space="preserve">Total Fees</t>
  </si>
  <si>
    <t xml:space="preserve">Best Trade</t>
  </si>
  <si>
    <t xml:space="preserve">Worst Trade</t>
  </si>
  <si>
    <t xml:space="preserve">Wins</t>
  </si>
  <si>
    <t xml:space="preserve">Losses</t>
  </si>
  <si>
    <t xml:space="preserve">Quick read:</t>
  </si>
  <si>
    <t xml:space="preserve">#</t>
  </si>
  <si>
    <t xml:space="preserve">Date</t>
  </si>
  <si>
    <t xml:space="preserve">Time (ET)</t>
  </si>
  <si>
    <t xml:space="preserve">Game</t>
  </si>
  <si>
    <t xml:space="preserve">Team Bought</t>
  </si>
  <si>
    <t xml:space="preserve">Trigger Play</t>
  </si>
  <si>
    <t xml:space="preserve">Entry (¢)</t>
  </si>
  <si>
    <t xml:space="preserve">Exit (¢)</t>
  </si>
  <si>
    <t xml:space="preserve">Exit Type</t>
  </si>
  <si>
    <t xml:space="preserve">Fees ($)</t>
  </si>
  <si>
    <t xml:space="preserve">P&amp;L (¢)</t>
  </si>
  <si>
    <t xml:space="preserve">P&amp;L ($)</t>
  </si>
  <si>
    <t xml:space="preserve">Result</t>
  </si>
  <si>
    <t xml:space="preserve">Cumulative P&amp;L ($)</t>
  </si>
  <si>
    <t xml:space="preserve">Win ¢</t>
  </si>
  <si>
    <t xml:space="preserve">Loss ¢</t>
  </si>
  <si>
    <t xml:space="preserve">Jul 10</t>
  </si>
  <si>
    <t xml:space="preserve">08:54 PM</t>
  </si>
  <si>
    <t xml:space="preserve">Cubs @ Reds</t>
  </si>
  <si>
    <t xml:space="preserve">Reds</t>
  </si>
  <si>
    <t xml:space="preserve">Batting event</t>
  </si>
  <si>
    <t xml:space="preserve">taker</t>
  </si>
  <si>
    <t xml:space="preserve">09:03 PM</t>
  </si>
  <si>
    <t xml:space="preserve">Mariners @ Rays</t>
  </si>
  <si>
    <t xml:space="preserve">Rays</t>
  </si>
  <si>
    <t xml:space="preserve">09:04 PM</t>
  </si>
  <si>
    <t xml:space="preserve">Cubs</t>
  </si>
  <si>
    <t xml:space="preserve">maker</t>
  </si>
  <si>
    <t xml:space="preserve">09:06 PM</t>
  </si>
  <si>
    <t xml:space="preserve">Red Sox @ Mets</t>
  </si>
  <si>
    <t xml:space="preserve">Mets</t>
  </si>
  <si>
    <t xml:space="preserve">Angels @ Twins</t>
  </si>
  <si>
    <t xml:space="preserve">Angels</t>
  </si>
  <si>
    <t xml:space="preserve">09:10 PM</t>
  </si>
  <si>
    <t xml:space="preserve">Royals @ Orioles</t>
  </si>
  <si>
    <t xml:space="preserve">Orioles</t>
  </si>
  <si>
    <t xml:space="preserve">09:15 PM</t>
  </si>
  <si>
    <t xml:space="preserve">Red Sox</t>
  </si>
  <si>
    <t xml:space="preserve">09:16 PM</t>
  </si>
  <si>
    <t xml:space="preserve">Twins</t>
  </si>
  <si>
    <t xml:space="preserve">09:17 PM</t>
  </si>
  <si>
    <t xml:space="preserve">Astros @ Rangers</t>
  </si>
  <si>
    <t xml:space="preserve">Rangers</t>
  </si>
  <si>
    <t xml:space="preserve">09:18 PM</t>
  </si>
  <si>
    <t xml:space="preserve">09:19 PM</t>
  </si>
  <si>
    <t xml:space="preserve">Guardians @ Marlins</t>
  </si>
  <si>
    <t xml:space="preserve">Marlins</t>
  </si>
  <si>
    <t xml:space="preserve">09:21 PM</t>
  </si>
  <si>
    <t xml:space="preserve">Royals</t>
  </si>
  <si>
    <t xml:space="preserve">09:29 PM</t>
  </si>
  <si>
    <t xml:space="preserve">09:30 PM</t>
  </si>
  <si>
    <t xml:space="preserve">09:32 PM</t>
  </si>
  <si>
    <t xml:space="preserve">09:33 PM</t>
  </si>
  <si>
    <t xml:space="preserve">Yankees @ Nationals</t>
  </si>
  <si>
    <t xml:space="preserve">Nationals</t>
  </si>
  <si>
    <t xml:space="preserve">09:39 PM</t>
  </si>
  <si>
    <t xml:space="preserve">Yankees</t>
  </si>
  <si>
    <t xml:space="preserve">09:41 PM</t>
  </si>
  <si>
    <t xml:space="preserve">Astros</t>
  </si>
  <si>
    <t xml:space="preserve">09:42 PM</t>
  </si>
  <si>
    <t xml:space="preserve">09:43 PM</t>
  </si>
  <si>
    <t xml:space="preserve">Blue Jays @ Padres</t>
  </si>
  <si>
    <t xml:space="preserve">Blue Jays</t>
  </si>
  <si>
    <t xml:space="preserve">09:51 PM</t>
  </si>
  <si>
    <t xml:space="preserve">09:52 PM</t>
  </si>
  <si>
    <t xml:space="preserve">09:56 PM</t>
  </si>
  <si>
    <t xml:space="preserve">09:59 PM</t>
  </si>
  <si>
    <t xml:space="preserve">10:00 PM</t>
  </si>
  <si>
    <t xml:space="preserve">Padres</t>
  </si>
  <si>
    <t xml:space="preserve">10:04 PM</t>
  </si>
  <si>
    <t xml:space="preserve">10:05 PM</t>
  </si>
  <si>
    <t xml:space="preserve">10:14 PM</t>
  </si>
  <si>
    <t xml:space="preserve">D-backs @ Dodgers</t>
  </si>
  <si>
    <t xml:space="preserve">D-backs</t>
  </si>
  <si>
    <t xml:space="preserve">10:15 PM</t>
  </si>
  <si>
    <t xml:space="preserve">10:16 PM</t>
  </si>
  <si>
    <t xml:space="preserve">10:19 PM</t>
  </si>
  <si>
    <t xml:space="preserve">10:21 PM</t>
  </si>
  <si>
    <t xml:space="preserve">10:22 PM</t>
  </si>
  <si>
    <t xml:space="preserve">10:23 PM</t>
  </si>
  <si>
    <t xml:space="preserve">10:26 PM</t>
  </si>
  <si>
    <t xml:space="preserve">Dodgers</t>
  </si>
  <si>
    <t xml:space="preserve">10:28 PM</t>
  </si>
  <si>
    <t xml:space="preserve">10:29 PM</t>
  </si>
  <si>
    <t xml:space="preserve">10:33 PM</t>
  </si>
  <si>
    <t xml:space="preserve">Rockies @ Giants</t>
  </si>
  <si>
    <t xml:space="preserve">Rockies</t>
  </si>
  <si>
    <t xml:space="preserve">10:34 PM</t>
  </si>
  <si>
    <t xml:space="preserve">10:36 PM</t>
  </si>
  <si>
    <t xml:space="preserve">10:40 PM</t>
  </si>
  <si>
    <t xml:space="preserve">10:44 PM</t>
  </si>
  <si>
    <t xml:space="preserve">Giants</t>
  </si>
  <si>
    <t xml:space="preserve">11:02 PM</t>
  </si>
  <si>
    <t xml:space="preserve">11:04 PM</t>
  </si>
  <si>
    <t xml:space="preserve">11:20 PM</t>
  </si>
  <si>
    <t xml:space="preserve">11:21 PM</t>
  </si>
  <si>
    <t xml:space="preserve">11:48 PM</t>
  </si>
  <si>
    <t xml:space="preserve">Jul 11</t>
  </si>
  <si>
    <t xml:space="preserve">12:11 AM</t>
  </si>
  <si>
    <t xml:space="preserve">12:21 AM</t>
  </si>
  <si>
    <t xml:space="preserve">12:34 AM</t>
  </si>
  <si>
    <t xml:space="preserve">Braves @ Cardinals</t>
  </si>
  <si>
    <t xml:space="preserve">Cardinals</t>
  </si>
  <si>
    <t xml:space="preserve">12:36 AM</t>
  </si>
  <si>
    <t xml:space="preserve">12:37 AM</t>
  </si>
  <si>
    <t xml:space="preserve">12:38 AM</t>
  </si>
  <si>
    <t xml:space="preserve">01:05 AM</t>
  </si>
  <si>
    <t xml:space="preserve">01:50 AM</t>
  </si>
  <si>
    <t xml:space="preserve">HOW THIS PAPER-TRADING RUN WORKS</t>
  </si>
  <si>
    <t xml:space="preserve">The strategy in one sentence</t>
  </si>
  <si>
    <t xml:space="preserve">When a batter gets a hit, walk, or home run, his team's chance of winning goes up — but Kalshi's prediction-market prices take a few minutes to fully adjust. The bot buys the batting team's "will they win?" contract seconds after the play, waits 5 minutes for the market to catch up, then sells. The hoped-for profit is that few-cent catch-up move.</t>
  </si>
  <si>
    <t xml:space="preserve">Why "paper" trading?</t>
  </si>
  <si>
    <t xml:space="preserve">No real money is used. The bot watches real live market data and simulates what would have happened to real orders — including realistic queue waiting, fees, and having to accept a worse price when an order doesn't fill in time. It's a dress rehearsal to measure whether the strategy actually earns money before risking anything.</t>
  </si>
  <si>
    <t xml:space="preserve">Where the numbers come from</t>
  </si>
  <si>
    <t xml:space="preserve">A research backtest over the full 2026 season (882 games, ~66,000 market reactions) suggested an edge of roughly +1 to +3 cents per trade after spread costs, strongest when holding 5-10 minutes. Each live trade here risks 10 contracts (~$5-9 at stake per trade).</t>
  </si>
  <si>
    <t xml:space="preserve">Column definitions (Trade Log)</t>
  </si>
  <si>
    <t xml:space="preserve">The batting event (single, walk, home run...) that fired the buy signal.</t>
  </si>
  <si>
    <t xml:space="preserve">Entry / Exit (¢)</t>
  </si>
  <si>
    <t xml:space="preserve">Contract prices in cents. A contract pays 100¢ if the team wins, 0¢ if not. Buying at 47¢ means the market thought the team had ~47% chance to win.</t>
  </si>
  <si>
    <t xml:space="preserve">"maker" = sold patiently at our asking price (no fee). "taker" = order timed out after 2 min, so the bot crossed the spread and paid a small fee to get out.</t>
  </si>
  <si>
    <t xml:space="preserve">P&amp;L</t>
  </si>
  <si>
    <t xml:space="preserve">(Exit − Entry) × 10 contracts − fees. 1¢ of price move = 10¢ of P&amp;L.</t>
  </si>
  <si>
    <t xml:space="preserve">WIN if the trade made money, LOSS if it lost.</t>
  </si>
  <si>
    <t xml:space="preserve">Cumulative P&amp;L</t>
  </si>
  <si>
    <t xml:space="preserve">Running total of all trades so far — the line chart on the Dashboard.</t>
  </si>
  <si>
    <t xml:space="preserve">What to look for</t>
  </si>
  <si>
    <t xml:space="preserve">1) Win rate near or above 50%.  2) Average win at least as big as average loss (Profit Factor above 1.00x means gross wins exceed gross losses).  3) A cumulative P&amp;L line that trends up over MANY trades. A handful of trades means nothing either way — variance dominates until roughly 100+ trades.</t>
  </si>
  <si>
    <t xml:space="preserve">Honest caveats</t>
  </si>
  <si>
    <t xml:space="preserve">The simulated fills are estimates (real orders might fill less often or at worse prices). Buying only after good offensive events also means buying into momentum — several early losses came from the other team immediately answering back. The whole point of this run is to find out, cheaply, whether the backtest edge survives contact with live markets.</t>
  </si>
</sst>
</file>

<file path=xl/styles.xml><?xml version="1.0" encoding="utf-8"?>
<styleSheet xmlns="http://schemas.openxmlformats.org/spreadsheetml/2006/main">
  <numFmts count="8">
    <numFmt numFmtId="164" formatCode="General"/>
    <numFmt numFmtId="165" formatCode="\$#,##0.00;&quot;($&quot;#,##0.00\)"/>
    <numFmt numFmtId="166" formatCode="0"/>
    <numFmt numFmtId="167" formatCode="0.0%"/>
    <numFmt numFmtId="168" formatCode="\$#,##0.00"/>
    <numFmt numFmtId="169" formatCode="0.00\x"/>
    <numFmt numFmtId="170" formatCode="#,##0;\(#,##0\);\-"/>
    <numFmt numFmtId="171" formatCode="\$#,##0.00;&quot;($&quot;#,##0.00\);\-"/>
  </numFmts>
  <fonts count="21">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i val="true"/>
      <sz val="10"/>
      <color rgb="FF404040"/>
      <name val="Arial"/>
      <family val="0"/>
      <charset val="1"/>
    </font>
    <font>
      <b val="true"/>
      <sz val="9"/>
      <color rgb="FFFFFFFF"/>
      <name val="Arial"/>
      <family val="0"/>
      <charset val="1"/>
    </font>
    <font>
      <sz val="9"/>
      <color rgb="FF000000"/>
      <name val="Arial"/>
      <family val="0"/>
      <charset val="1"/>
    </font>
    <font>
      <b val="true"/>
      <sz val="13"/>
      <color rgb="FF000000"/>
      <name val="Arial"/>
      <family val="0"/>
      <charset val="1"/>
    </font>
    <font>
      <b val="true"/>
      <sz val="13"/>
      <color rgb="FF006100"/>
      <name val="Arial"/>
      <family val="0"/>
      <charset val="1"/>
    </font>
    <font>
      <b val="true"/>
      <sz val="13"/>
      <color rgb="FF9C0006"/>
      <name val="Arial"/>
      <family val="0"/>
      <charset val="1"/>
    </font>
    <font>
      <b val="true"/>
      <sz val="11"/>
      <color rgb="FF000000"/>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0"/>
      <color rgb="FFFFFFFF"/>
      <name val="Arial"/>
      <family val="0"/>
      <charset val="1"/>
    </font>
    <font>
      <sz val="10"/>
      <color rgb="FF000000"/>
      <name val="Arial"/>
      <family val="0"/>
      <charset val="1"/>
    </font>
    <font>
      <b val="true"/>
      <sz val="10"/>
      <color rgb="FF000000"/>
      <name val="Arial"/>
      <family val="0"/>
      <charset val="1"/>
    </font>
    <font>
      <b val="true"/>
      <sz val="15"/>
      <color rgb="FFFFFFFF"/>
      <name val="Arial"/>
      <family val="0"/>
      <charset val="1"/>
    </font>
    <font>
      <b val="true"/>
      <sz val="12"/>
      <color rgb="FF1F3864"/>
      <name val="Arial"/>
      <family val="0"/>
      <charset val="1"/>
    </font>
    <font>
      <b val="true"/>
      <sz val="10"/>
      <color rgb="FF1F3864"/>
      <name val="Arial"/>
      <family val="0"/>
      <charset val="1"/>
    </font>
  </fonts>
  <fills count="6">
    <fill>
      <patternFill patternType="none"/>
    </fill>
    <fill>
      <patternFill patternType="gray125"/>
    </fill>
    <fill>
      <patternFill patternType="solid">
        <fgColor rgb="FF1F3864"/>
        <bgColor rgb="FF404040"/>
      </patternFill>
    </fill>
    <fill>
      <patternFill patternType="solid">
        <fgColor rgb="FF44546A"/>
        <bgColor rgb="FF404040"/>
      </patternFill>
    </fill>
    <fill>
      <patternFill patternType="solid">
        <fgColor rgb="FFD9E2F3"/>
        <bgColor rgb="FFD9D9D9"/>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5" fontId="8" fillId="4" borderId="1" xfId="0" applyFont="true" applyBorder="true" applyAlignment="true" applyProtection="false">
      <alignment horizontal="center" vertical="center" textRotation="0" wrapText="false" indent="0" shrinkToFit="false"/>
      <protection locked="true" hidden="false"/>
    </xf>
    <xf numFmtId="166" fontId="8" fillId="4" borderId="1" xfId="0" applyFont="true" applyBorder="true" applyAlignment="true" applyProtection="false">
      <alignment horizontal="center" vertical="center" textRotation="0" wrapText="false" indent="0" shrinkToFit="false"/>
      <protection locked="true" hidden="false"/>
    </xf>
    <xf numFmtId="167" fontId="8" fillId="4" borderId="1" xfId="0" applyFont="true" applyBorder="true" applyAlignment="true" applyProtection="false">
      <alignment horizontal="center" vertical="center" textRotation="0" wrapText="false" indent="0" shrinkToFit="false"/>
      <protection locked="true" hidden="false"/>
    </xf>
    <xf numFmtId="168" fontId="9" fillId="4" borderId="1" xfId="0" applyFont="true" applyBorder="true" applyAlignment="true" applyProtection="false">
      <alignment horizontal="center" vertical="center" textRotation="0" wrapText="false" indent="0" shrinkToFit="false"/>
      <protection locked="true" hidden="false"/>
    </xf>
    <xf numFmtId="165" fontId="10" fillId="4" borderId="1" xfId="0" applyFont="true" applyBorder="true" applyAlignment="true" applyProtection="false">
      <alignment horizontal="center" vertical="center" textRotation="0" wrapText="false" indent="0" shrinkToFit="false"/>
      <protection locked="true" hidden="false"/>
    </xf>
    <xf numFmtId="169" fontId="8" fillId="4" borderId="1" xfId="0" applyFont="true" applyBorder="true" applyAlignment="true" applyProtection="false">
      <alignment horizontal="center" vertical="center" textRotation="0" wrapText="false" indent="0" shrinkToFit="false"/>
      <protection locked="true" hidden="false"/>
    </xf>
    <xf numFmtId="168" fontId="8" fillId="4" borderId="1"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15" fillId="2"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center" vertical="center" textRotation="0" wrapText="false" indent="0" shrinkToFit="false"/>
      <protection locked="true" hidden="false"/>
    </xf>
    <xf numFmtId="164" fontId="16" fillId="0" borderId="1" xfId="0" applyFont="true" applyBorder="true" applyAlignment="true" applyProtection="false">
      <alignment horizontal="left" vertical="center" textRotation="0" wrapText="false" indent="0" shrinkToFit="false"/>
      <protection locked="true" hidden="false"/>
    </xf>
    <xf numFmtId="168" fontId="16" fillId="0" borderId="1" xfId="0" applyFont="true" applyBorder="true" applyAlignment="true" applyProtection="false">
      <alignment horizontal="center" vertical="center" textRotation="0" wrapText="false" indent="0" shrinkToFit="false"/>
      <protection locked="true" hidden="false"/>
    </xf>
    <xf numFmtId="170" fontId="16" fillId="0" borderId="1" xfId="0" applyFont="true" applyBorder="true" applyAlignment="true" applyProtection="false">
      <alignment horizontal="center" vertical="center" textRotation="0" wrapText="false" indent="0" shrinkToFit="false"/>
      <protection locked="true" hidden="false"/>
    </xf>
    <xf numFmtId="171" fontId="16" fillId="0" borderId="1" xfId="0" applyFont="true" applyBorder="true" applyAlignment="true" applyProtection="false">
      <alignment horizontal="center" vertical="center" textRotation="0" wrapText="false" indent="0" shrinkToFit="false"/>
      <protection locked="true" hidden="false"/>
    </xf>
    <xf numFmtId="164" fontId="17" fillId="0" borderId="1" xfId="0" applyFont="true" applyBorder="true" applyAlignment="true" applyProtection="false">
      <alignment horizontal="center" vertical="center"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16" fillId="5" borderId="1" xfId="0" applyFont="true" applyBorder="true" applyAlignment="true" applyProtection="false">
      <alignment horizontal="center" vertical="center" textRotation="0" wrapText="false" indent="0" shrinkToFit="false"/>
      <protection locked="true" hidden="false"/>
    </xf>
    <xf numFmtId="164" fontId="16" fillId="5" borderId="1" xfId="0" applyFont="true" applyBorder="true" applyAlignment="true" applyProtection="false">
      <alignment horizontal="left" vertical="center" textRotation="0" wrapText="false" indent="0" shrinkToFit="false"/>
      <protection locked="true" hidden="false"/>
    </xf>
    <xf numFmtId="168" fontId="16" fillId="5" borderId="1" xfId="0" applyFont="true" applyBorder="true" applyAlignment="true" applyProtection="false">
      <alignment horizontal="center" vertical="center" textRotation="0" wrapText="false" indent="0" shrinkToFit="false"/>
      <protection locked="true" hidden="false"/>
    </xf>
    <xf numFmtId="170" fontId="16" fillId="5" borderId="1" xfId="0" applyFont="true" applyBorder="true" applyAlignment="true" applyProtection="false">
      <alignment horizontal="center" vertical="center" textRotation="0" wrapText="false" indent="0" shrinkToFit="false"/>
      <protection locked="true" hidden="false"/>
    </xf>
    <xf numFmtId="171" fontId="16" fillId="5" borderId="1" xfId="0" applyFont="true" applyBorder="true" applyAlignment="true" applyProtection="false">
      <alignment horizontal="center" vertical="center" textRotation="0" wrapText="false" indent="0" shrinkToFit="false"/>
      <protection locked="true" hidden="false"/>
    </xf>
    <xf numFmtId="164" fontId="17" fillId="5" borderId="1" xfId="0" applyFont="true" applyBorder="true" applyAlignment="true" applyProtection="false">
      <alignment horizontal="center" vertical="center" textRotation="0" wrapText="false" indent="0" shrinkToFit="false"/>
      <protection locked="true" hidden="false"/>
    </xf>
    <xf numFmtId="164" fontId="18" fillId="2" borderId="0" xfId="0" applyFont="true" applyBorder="true" applyAlignment="true" applyProtection="false">
      <alignment horizontal="center" vertical="center" textRotation="0" wrapText="false" indent="0" shrinkToFit="false"/>
      <protection locked="true" hidden="false"/>
    </xf>
    <xf numFmtId="164" fontId="19" fillId="0" borderId="0" xfId="0" applyFont="true" applyBorder="true" applyAlignment="true" applyProtection="false">
      <alignment horizontal="left" vertical="center" textRotation="0" wrapText="false" indent="0" shrinkToFit="false"/>
      <protection locked="true" hidden="false"/>
    </xf>
    <xf numFmtId="164" fontId="16" fillId="0" borderId="0" xfId="0" applyFont="true" applyBorder="true" applyAlignment="true" applyProtection="false">
      <alignment horizontal="left" vertical="center" textRotation="0" wrapText="true" indent="0" shrinkToFit="false"/>
      <protection locked="true" hidden="false"/>
    </xf>
    <xf numFmtId="164" fontId="20" fillId="0" borderId="0" xfId="0" applyFont="true" applyBorder="false" applyAlignment="true" applyProtection="false">
      <alignment horizontal="right" vertical="center" textRotation="0" wrapText="false" indent="0" shrinkToFit="false"/>
      <protection locked="true" hidden="false"/>
    </xf>
    <xf numFmtId="164" fontId="16" fillId="0" borderId="0" xfId="0" applyFont="true" applyBorder="fals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Arial"/>
        <charset val="1"/>
        <family val="0"/>
        <b val="1"/>
        <color rgb="FF006100"/>
      </font>
      <fill>
        <patternFill>
          <bgColor rgb="FFC6EFCE"/>
        </patternFill>
      </fill>
    </dxf>
    <dxf>
      <font>
        <name val="Arial"/>
        <charset val="1"/>
        <family val="0"/>
        <b val="1"/>
        <color rgb="FF9C0006"/>
      </font>
      <fill>
        <patternFill>
          <bgColor rgb="FFFFC7CE"/>
        </patternFill>
      </fill>
    </dxf>
  </dxfs>
  <colors>
    <indexedColors>
      <rgbColor rgb="FF000000"/>
      <rgbColor rgb="FFFFFFFF"/>
      <rgbColor rgb="FFC00000"/>
      <rgbColor rgb="FF00FF00"/>
      <rgbColor rgb="FF0000FF"/>
      <rgbColor rgb="FFFFFF00"/>
      <rgbColor rgb="FFFF00FF"/>
      <rgbColor rgb="FF00FFFF"/>
      <rgbColor rgb="FF9C0006"/>
      <rgbColor rgb="FF006100"/>
      <rgbColor rgb="FF000080"/>
      <rgbColor rgb="FF808000"/>
      <rgbColor rgb="FF800080"/>
      <rgbColor rgb="FF008080"/>
      <rgbColor rgb="FFBFBFBF"/>
      <rgbColor rgb="FF878787"/>
      <rgbColor rgb="FF9999FF"/>
      <rgbColor rgb="FFBE4B48"/>
      <rgbColor rgb="FFF2F2F2"/>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4F81BD"/>
      <rgbColor rgb="FF70AD47"/>
      <rgbColor rgb="FF1F3864"/>
      <rgbColor rgb="FF339966"/>
      <rgbColor rgb="FF003300"/>
      <rgbColor rgb="FF333300"/>
      <rgbColor rgb="FF993300"/>
      <rgbColor rgb="FF993366"/>
      <rgbColor rgb="FF44546A"/>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12"/>
  <c:chart>
    <c:title>
      <c:tx>
        <c:rich>
          <a:bodyPr rot="0"/>
          <a:lstStyle/>
          <a:p>
            <a:pPr>
              <a:defRPr sz="1300" b="0" u="none" strike="noStrike">
                <a:uFillTx/>
                <a:latin typeface="Arial"/>
              </a:defRPr>
            </a:pPr>
            <a:r>
              <a:rPr sz="1800" b="1" u="none" strike="noStrike">
                <a:solidFill>
                  <a:srgbClr val="000000"/>
                </a:solidFill>
                <a:uFillTx/>
                <a:latin typeface="Calibri"/>
              </a:rPr>
              <a:t>Cumulative P&amp;L ($) — running total after each trade</a:t>
            </a:r>
          </a:p>
        </c:rich>
      </c:tx>
      <c:overlay val="0"/>
      <c:spPr>
        <a:noFill/>
        <a:ln w="0">
          <a:noFill/>
        </a:ln>
      </c:spPr>
    </c:title>
    <c:autoTitleDeleted val="0"/>
    <c:plotArea>
      <c:lineChart>
        <c:grouping val="standard"/>
        <c:varyColors val="0"/>
        <c:ser>
          <c:idx val="0"/>
          <c:order val="0"/>
          <c:tx>
            <c:strRef>
              <c:f>'Trade Log'!N1</c:f>
              <c:strCache>
                <c:ptCount val="1"/>
                <c:pt idx="0">
                  <c:v>Cumulative P&amp;L ($)</c:v>
                </c:pt>
              </c:strCache>
            </c:strRef>
          </c:tx>
          <c:spPr>
            <a:solidFill>
              <a:srgbClr val="BE4B48"/>
            </a:solidFill>
            <a:ln w="12600">
              <a:solidFill>
                <a:srgbClr val="BE4B48"/>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'Trade Log'!$A$2:$A$61</c:f>
              <c:strCache>
                <c:ptCount val="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strCache>
            </c:strRef>
          </c:cat>
          <c:val>
            <c:numRef>
              <c:f>'Trade Log'!$N$2:$N$61</c:f>
              <c:numCache>
                <c:formatCode>\$#,##0.00;"($"#,##0.00\);\-</c:formatCode>
                <c:ptCount val="60"/>
                <c:pt idx="0">
                  <c:v>-1.17</c:v>
                </c:pt>
                <c:pt idx="1">
                  <c:v>-0.69</c:v>
                </c:pt>
                <c:pt idx="2">
                  <c:v>-2.49</c:v>
                </c:pt>
                <c:pt idx="3">
                  <c:v>-4.05</c:v>
                </c:pt>
                <c:pt idx="4">
                  <c:v>-3.85</c:v>
                </c:pt>
                <c:pt idx="5">
                  <c:v>-1.45</c:v>
                </c:pt>
                <c:pt idx="6">
                  <c:v>-1.75</c:v>
                </c:pt>
                <c:pt idx="7">
                  <c:v>-3.15</c:v>
                </c:pt>
                <c:pt idx="8">
                  <c:v>-3.89</c:v>
                </c:pt>
                <c:pt idx="9">
                  <c:v>-3.79</c:v>
                </c:pt>
                <c:pt idx="10">
                  <c:v>-5.19</c:v>
                </c:pt>
                <c:pt idx="11">
                  <c:v>-5.8</c:v>
                </c:pt>
                <c:pt idx="12">
                  <c:v>-5.5</c:v>
                </c:pt>
                <c:pt idx="13">
                  <c:v>-6.8</c:v>
                </c:pt>
                <c:pt idx="14">
                  <c:v>-7.09</c:v>
                </c:pt>
                <c:pt idx="15">
                  <c:v>-8.29</c:v>
                </c:pt>
                <c:pt idx="16">
                  <c:v>-7.69</c:v>
                </c:pt>
                <c:pt idx="17">
                  <c:v>-7.79</c:v>
                </c:pt>
                <c:pt idx="18">
                  <c:v>-10.03</c:v>
                </c:pt>
                <c:pt idx="19">
                  <c:v>-10.92</c:v>
                </c:pt>
                <c:pt idx="20">
                  <c:v>-11.24</c:v>
                </c:pt>
                <c:pt idx="21">
                  <c:v>-12.04</c:v>
                </c:pt>
                <c:pt idx="22">
                  <c:v>-11.94</c:v>
                </c:pt>
                <c:pt idx="23">
                  <c:v>-10.44</c:v>
                </c:pt>
                <c:pt idx="24">
                  <c:v>-11.5</c:v>
                </c:pt>
                <c:pt idx="25">
                  <c:v>-12.46</c:v>
                </c:pt>
                <c:pt idx="26">
                  <c:v>-14.76</c:v>
                </c:pt>
                <c:pt idx="27">
                  <c:v>-15.36</c:v>
                </c:pt>
                <c:pt idx="28">
                  <c:v>-16.63</c:v>
                </c:pt>
                <c:pt idx="29">
                  <c:v>-15.63</c:v>
                </c:pt>
                <c:pt idx="30">
                  <c:v>-17.07</c:v>
                </c:pt>
                <c:pt idx="31">
                  <c:v>-20.07</c:v>
                </c:pt>
                <c:pt idx="32">
                  <c:v>-21.27</c:v>
                </c:pt>
                <c:pt idx="33">
                  <c:v>-21.87</c:v>
                </c:pt>
                <c:pt idx="34">
                  <c:v>-22.27</c:v>
                </c:pt>
                <c:pt idx="35">
                  <c:v>-20.99</c:v>
                </c:pt>
                <c:pt idx="36">
                  <c:v>-22.81</c:v>
                </c:pt>
                <c:pt idx="37">
                  <c:v>-23.38</c:v>
                </c:pt>
                <c:pt idx="38">
                  <c:v>-23.78</c:v>
                </c:pt>
                <c:pt idx="39">
                  <c:v>-26.38</c:v>
                </c:pt>
                <c:pt idx="40">
                  <c:v>-27.88</c:v>
                </c:pt>
                <c:pt idx="41">
                  <c:v>-28.73</c:v>
                </c:pt>
                <c:pt idx="42">
                  <c:v>-28.63</c:v>
                </c:pt>
                <c:pt idx="43">
                  <c:v>-28.53</c:v>
                </c:pt>
                <c:pt idx="44">
                  <c:v>-28.78</c:v>
                </c:pt>
                <c:pt idx="45">
                  <c:v>-29.14</c:v>
                </c:pt>
                <c:pt idx="46">
                  <c:v>-29.51</c:v>
                </c:pt>
                <c:pt idx="47">
                  <c:v>-29.99</c:v>
                </c:pt>
                <c:pt idx="48">
                  <c:v>-33.58</c:v>
                </c:pt>
                <c:pt idx="49">
                  <c:v>-33.78</c:v>
                </c:pt>
                <c:pt idx="50">
                  <c:v>-34.44</c:v>
                </c:pt>
                <c:pt idx="51">
                  <c:v>-36.12</c:v>
                </c:pt>
                <c:pt idx="52">
                  <c:v>-37.42</c:v>
                </c:pt>
                <c:pt idx="53">
                  <c:v>-37.92</c:v>
                </c:pt>
                <c:pt idx="54">
                  <c:v>-35.92</c:v>
                </c:pt>
                <c:pt idx="55">
                  <c:v>-35.3</c:v>
                </c:pt>
                <c:pt idx="56">
                  <c:v>-35.5</c:v>
                </c:pt>
                <c:pt idx="57">
                  <c:v>-36.78</c:v>
                </c:pt>
                <c:pt idx="58">
                  <c:v>-37.41</c:v>
                </c:pt>
                <c:pt idx="59">
                  <c:v>-40.42</c:v>
                </c:pt>
              </c:numCache>
            </c:numRef>
          </c:val>
          <c:smooth val="1"/>
        </c:ser>
        <c:hiLowLines>
          <c:spPr>
            <a:ln w="0">
              <a:noFill/>
            </a:ln>
          </c:spPr>
        </c:hiLowLines>
        <c:marker val="0"/>
        <c:axId val="9685483"/>
        <c:axId val="75973008"/>
      </c:lineChart>
      <c:catAx>
        <c:axId val="9685483"/>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Trade #</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5973008"/>
        <c:crosses val="autoZero"/>
        <c:auto val="1"/>
        <c:lblAlgn val="ctr"/>
        <c:lblOffset val="100"/>
        <c:noMultiLvlLbl val="0"/>
      </c:catAx>
      <c:valAx>
        <c:axId val="75973008"/>
        <c:scaling>
          <c:orientation val="minMax"/>
        </c:scaling>
        <c:delete val="0"/>
        <c:axPos val="l"/>
        <c:majorGridlines>
          <c:spPr>
            <a:ln w="9360">
              <a:solidFill>
                <a:srgbClr val="878787"/>
              </a:solidFill>
              <a:round/>
            </a:ln>
          </c:spPr>
        </c:majorGridlines>
        <c:numFmt formatCode="\$#,##0.0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685483"/>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P&amp;L per trade (¢) — green wins, red losses</a:t>
            </a:r>
          </a:p>
        </c:rich>
      </c:tx>
      <c:overlay val="0"/>
      <c:spPr>
        <a:noFill/>
        <a:ln w="0">
          <a:noFill/>
        </a:ln>
      </c:spPr>
    </c:title>
    <c:autoTitleDeleted val="0"/>
    <c:plotArea>
      <c:barChart>
        <c:barDir val="col"/>
        <c:grouping val="clustered"/>
        <c:varyColors val="0"/>
        <c:ser>
          <c:idx val="0"/>
          <c:order val="0"/>
          <c:tx>
            <c:strRef>
              <c:f>"Win"</c:f>
              <c:strCache>
                <c:ptCount val="1"/>
                <c:pt idx="0">
                  <c:v>Win</c:v>
                </c:pt>
              </c:strCache>
            </c:strRef>
          </c:tx>
          <c:spPr>
            <a:solidFill>
              <a:srgbClr val="70AD47"/>
            </a:solidFill>
            <a:ln w="12600">
              <a:noFill/>
            </a:ln>
          </c:spPr>
          <c:invertIfNegative val="0"/>
          <c:cat>
            <c:strRef>
              <c:f>'Trade Log'!$A$2:$A$61</c:f>
              <c:strCache>
                <c:ptCount val="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strCache>
            </c:strRef>
          </c:cat>
          <c:val>
            <c:numRef>
              <c:f>'Trade Log'!$P$2:$P$61</c:f>
              <c:numCache>
                <c:formatCode>General</c:formatCode>
                <c:ptCount val="0"/>
              </c:numCache>
            </c:numRef>
          </c:val>
        </c:ser>
        <c:ser>
          <c:idx val="1"/>
          <c:order val="1"/>
          <c:tx>
            <c:strRef>
              <c:f>"Loss"</c:f>
              <c:strCache>
                <c:ptCount val="1"/>
                <c:pt idx="0">
                  <c:v>Loss</c:v>
                </c:pt>
              </c:strCache>
            </c:strRef>
          </c:tx>
          <c:spPr>
            <a:solidFill>
              <a:srgbClr val="C00000"/>
            </a:solidFill>
            <a:ln w="12600">
              <a:noFill/>
            </a:ln>
          </c:spPr>
          <c:invertIfNegative val="0"/>
          <c:cat>
            <c:strRef>
              <c:f>'Trade Log'!$A$2:$A$61</c:f>
              <c:strCache>
                <c:ptCount val="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strCache>
            </c:strRef>
          </c:cat>
          <c:val>
            <c:numRef>
              <c:f>'Trade Log'!$Q$2:$Q$61</c:f>
              <c:numCache>
                <c:formatCode>General</c:formatCode>
                <c:ptCount val="0"/>
              </c:numCache>
            </c:numRef>
          </c:val>
        </c:ser>
        <c:gapWidth val="60"/>
        <c:overlap val="100"/>
        <c:axId val="58937993"/>
        <c:axId val="56787818"/>
      </c:barChart>
      <c:catAx>
        <c:axId val="58937993"/>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Trade #</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6787818"/>
        <c:crosses val="autoZero"/>
        <c:auto val="1"/>
        <c:lblAlgn val="ctr"/>
        <c:lblOffset val="100"/>
        <c:noMultiLvlLbl val="0"/>
      </c:catAx>
      <c:valAx>
        <c:axId val="56787818"/>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8937993"/>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Win / Loss split</a:t>
            </a:r>
          </a:p>
        </c:rich>
      </c:tx>
      <c:overlay val="0"/>
      <c:spPr>
        <a:noFill/>
        <a:ln w="0">
          <a:noFill/>
        </a:ln>
      </c:spPr>
    </c:title>
    <c:autoTitleDeleted val="0"/>
    <c:plotArea>
      <c:doughnutChart>
        <c:varyColors val="1"/>
        <c:ser>
          <c:idx val="0"/>
          <c:order val="0"/>
          <c:spPr>
            <a:solidFill>
              <a:srgbClr val="4F81BD"/>
            </a:solidFill>
            <a:ln w="12600">
              <a:noFill/>
            </a:ln>
          </c:spPr>
          <c:explosion val="0"/>
          <c:dPt>
            <c:idx val="0"/>
            <c:spPr>
              <a:solidFill>
                <a:srgbClr val="70AD47"/>
              </a:solidFill>
              <a:ln w="0">
                <a:noFill/>
              </a:ln>
            </c:spPr>
          </c:dPt>
          <c:dPt>
            <c:idx val="1"/>
            <c:spPr>
              <a:solidFill>
                <a:srgbClr val="C00000"/>
              </a:solidFill>
              <a:ln w="0">
                <a:noFill/>
              </a:ln>
            </c:spPr>
          </c:dPt>
          <c:dLbls>
            <c:dLbl>
              <c:idx val="0"/>
              <c:txPr>
                <a:bodyPr wrap="none"/>
                <a:lstStyle/>
                <a:p>
                  <a:pPr>
                    <a:defRPr sz="1000" b="0" u="none" strike="noStrike">
                      <a:uFillTx/>
                      <a:latin typeface="Arial"/>
                    </a:defRPr>
                  </a:pPr>
                </a:p>
              </c:txPr>
              <c:showLegendKey val="0"/>
              <c:showVal val="0"/>
              <c:showCatName val="0"/>
              <c:showSerName val="0"/>
              <c:showPercent val="0"/>
              <c:separator> </c:separator>
            </c:dLbl>
            <c:dLbl>
              <c:idx val="1"/>
              <c:txPr>
                <a:bodyPr wrap="none"/>
                <a:lstStyle/>
                <a:p>
                  <a:pPr>
                    <a:defRPr sz="1000" b="0" u="none" strike="noStrike">
                      <a:uFillTx/>
                      <a:latin typeface="Arial"/>
                    </a:defRPr>
                  </a:pPr>
                </a:p>
              </c:txPr>
              <c:showLegendKey val="0"/>
              <c:showVal val="0"/>
              <c:showCatName val="0"/>
              <c:showSerName val="0"/>
              <c:showPercent val="0"/>
              <c:separator> </c:separator>
            </c:dLbl>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dLbls>
          <c:cat>
            <c:strRef>
              <c:f>Dashboard!$O$5:$O$6</c:f>
              <c:strCache>
                <c:ptCount val="2"/>
                <c:pt idx="0">
                  <c:v>Wins</c:v>
                </c:pt>
                <c:pt idx="1">
                  <c:v>Losses</c:v>
                </c:pt>
              </c:strCache>
            </c:strRef>
          </c:cat>
          <c:val>
            <c:numRef>
              <c:f>Dashboard!$P$5:$P$6</c:f>
              <c:numCache>
                <c:formatCode>General</c:formatCode>
                <c:ptCount val="2"/>
                <c:pt idx="0">
                  <c:v>14</c:v>
                </c:pt>
                <c:pt idx="1">
                  <c:v>46</c:v>
                </c:pt>
              </c:numCache>
            </c:numRef>
          </c:val>
        </c:ser>
        <c:firstSliceAng val="0"/>
        <c:holeSize val="50"/>
      </c:doughnut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9</xdr:row>
      <xdr:rowOff>0</xdr:rowOff>
    </xdr:from>
    <xdr:to>
      <xdr:col>7</xdr:col>
      <xdr:colOff>262080</xdr:colOff>
      <xdr:row>24</xdr:row>
      <xdr:rowOff>22320</xdr:rowOff>
    </xdr:to>
    <xdr:graphicFrame>
      <xdr:nvGraphicFramePr>
        <xdr:cNvPr id="1" name="Chart 1"/>
        <xdr:cNvGraphicFramePr/>
      </xdr:nvGraphicFramePr>
      <xdr:xfrm>
        <a:off x="611640" y="244800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26</xdr:row>
      <xdr:rowOff>0</xdr:rowOff>
    </xdr:from>
    <xdr:to>
      <xdr:col>7</xdr:col>
      <xdr:colOff>262080</xdr:colOff>
      <xdr:row>41</xdr:row>
      <xdr:rowOff>22320</xdr:rowOff>
    </xdr:to>
    <xdr:graphicFrame>
      <xdr:nvGraphicFramePr>
        <xdr:cNvPr id="2" name="Chart 2"/>
        <xdr:cNvGraphicFramePr/>
      </xdr:nvGraphicFramePr>
      <xdr:xfrm>
        <a:off x="611640" y="5686560"/>
        <a:ext cx="575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0</xdr:colOff>
      <xdr:row>9</xdr:row>
      <xdr:rowOff>0</xdr:rowOff>
    </xdr:from>
    <xdr:to>
      <xdr:col>14</xdr:col>
      <xdr:colOff>433440</xdr:colOff>
      <xdr:row>24</xdr:row>
      <xdr:rowOff>22320</xdr:rowOff>
    </xdr:to>
    <xdr:graphicFrame>
      <xdr:nvGraphicFramePr>
        <xdr:cNvPr id="3" name="Chart 3"/>
        <xdr:cNvGraphicFramePr/>
      </xdr:nvGraphicFramePr>
      <xdr:xfrm>
        <a:off x="8858160" y="2448000"/>
        <a:ext cx="2879640" cy="287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P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0" min="2" style="0" width="13"/>
  </cols>
  <sheetData>
    <row r="2" customFormat="false" ht="33.75" hidden="false" customHeight="true" outlineLevel="0" collapsed="false">
      <c r="B2" s="1" t="s">
        <v>0</v>
      </c>
      <c r="C2" s="1"/>
      <c r="D2" s="1"/>
      <c r="E2" s="1"/>
      <c r="F2" s="1"/>
      <c r="G2" s="1"/>
      <c r="H2" s="1"/>
      <c r="I2" s="1"/>
      <c r="J2" s="1"/>
      <c r="K2" s="1"/>
      <c r="L2" s="1"/>
      <c r="M2" s="1"/>
    </row>
    <row r="3" customFormat="false" ht="30" hidden="false" customHeight="true" outlineLevel="0" collapsed="false">
      <c r="B3" s="2" t="s">
        <v>1</v>
      </c>
      <c r="C3" s="2"/>
      <c r="D3" s="2"/>
      <c r="E3" s="2"/>
      <c r="F3" s="2"/>
      <c r="G3" s="2"/>
      <c r="H3" s="2"/>
      <c r="I3" s="2"/>
      <c r="J3" s="2"/>
      <c r="K3" s="2"/>
      <c r="L3" s="2"/>
      <c r="M3" s="2"/>
    </row>
    <row r="5" customFormat="false" ht="24" hidden="false" customHeight="true" outlineLevel="0" collapsed="false">
      <c r="B5" s="3" t="s">
        <v>2</v>
      </c>
      <c r="C5" s="3" t="s">
        <v>3</v>
      </c>
      <c r="D5" s="3" t="s">
        <v>4</v>
      </c>
      <c r="E5" s="3" t="s">
        <v>5</v>
      </c>
      <c r="F5" s="3" t="s">
        <v>6</v>
      </c>
      <c r="G5" s="3" t="s">
        <v>7</v>
      </c>
      <c r="H5" s="3" t="s">
        <v>8</v>
      </c>
      <c r="I5" s="3" t="s">
        <v>9</v>
      </c>
      <c r="J5" s="3" t="s">
        <v>10</v>
      </c>
      <c r="O5" s="4" t="s">
        <v>11</v>
      </c>
      <c r="P5" s="4" t="n">
        <f aca="false">COUNTIF('Trade Log'!M2:M61,"WIN")</f>
        <v>14</v>
      </c>
    </row>
    <row r="6" customFormat="false" ht="30" hidden="false" customHeight="true" outlineLevel="0" collapsed="false">
      <c r="B6" s="5" t="n">
        <f aca="false">SUM('Trade Log'!L2:L61)</f>
        <v>-40.42</v>
      </c>
      <c r="C6" s="6" t="n">
        <f aca="false">COUNT('Trade Log'!A2:A61)</f>
        <v>60</v>
      </c>
      <c r="D6" s="7" t="n">
        <f aca="false">COUNTIF('Trade Log'!M2:M61,"WIN")/COUNT('Trade Log'!A2:A61)</f>
        <v>0.233333333333333</v>
      </c>
      <c r="E6" s="8" t="n">
        <f aca="false">IFERROR(AVERAGEIF('Trade Log'!L2:L61,"&gt;0"),0)</f>
        <v>0.77</v>
      </c>
      <c r="F6" s="9" t="n">
        <f aca="false">IFERROR(AVERAGEIF('Trade Log'!L2:L61,"&lt;0"),0)</f>
        <v>-1.11304347826087</v>
      </c>
      <c r="G6" s="10" t="n">
        <f aca="false">IFERROR(SUMIF('Trade Log'!L2:L61,"&gt;0")/ABS(SUMIF('Trade Log'!L2:L61,"&lt;0")),0)</f>
        <v>0.210546875</v>
      </c>
      <c r="H6" s="11" t="n">
        <f aca="false">SUM('Trade Log'!J2:J61)</f>
        <v>3.72</v>
      </c>
      <c r="I6" s="8" t="n">
        <f aca="false">MAX('Trade Log'!L2:L61)</f>
        <v>2.4</v>
      </c>
      <c r="J6" s="9" t="n">
        <f aca="false">MIN('Trade Log'!L2:L61)</f>
        <v>-3.59</v>
      </c>
      <c r="O6" s="4" t="s">
        <v>12</v>
      </c>
      <c r="P6" s="4" t="n">
        <f aca="false">COUNTIF('Trade Log'!M2:M61,"LOSS")</f>
        <v>46</v>
      </c>
    </row>
    <row r="8" customFormat="false" ht="15" hidden="false" customHeight="false" outlineLevel="0" collapsed="false">
      <c r="B8" s="12" t="s">
        <v>13</v>
      </c>
      <c r="C8" s="13" t="str">
        <f aca="false">IF(SUM('Trade Log'!L2:L61)&gt;=0,"The run is PROFITABLE so far — but the sample is still small; judge after 100+ trades.","The run is DOWN so far — small samples swing hard; the backtest edge (~+1 to +3¢/trade) needs 100+ trades to show through noise.")</f>
        <v>The run is DOWN so far — small samples swing hard; the backtest edge (~+1 to +3¢/trade) needs 100+ trades to show through noise.</v>
      </c>
      <c r="D8" s="13"/>
      <c r="E8" s="13"/>
      <c r="F8" s="13"/>
      <c r="G8" s="13"/>
      <c r="H8" s="13"/>
      <c r="I8" s="13"/>
      <c r="J8" s="13"/>
      <c r="K8" s="13"/>
      <c r="L8" s="13"/>
      <c r="M8" s="13"/>
    </row>
  </sheetData>
  <mergeCells count="3">
    <mergeCell ref="B2:M2"/>
    <mergeCell ref="B3:M3"/>
    <mergeCell ref="C8:M8"/>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9"/>
    <col collapsed="false" customWidth="true" hidden="false" outlineLevel="0" max="3" min="3" style="0" width="10"/>
    <col collapsed="false" customWidth="true" hidden="false" outlineLevel="0" max="4" min="4" style="0" width="24"/>
    <col collapsed="false" customWidth="true" hidden="false" outlineLevel="0" max="6" min="5" style="0" width="14"/>
    <col collapsed="false" customWidth="true" hidden="false" outlineLevel="0" max="8" min="7" style="0" width="9"/>
    <col collapsed="false" customWidth="true" hidden="false" outlineLevel="0" max="9" min="9" style="0" width="10"/>
    <col collapsed="false" customWidth="true" hidden="false" outlineLevel="0" max="11" min="10" style="0" width="9"/>
    <col collapsed="false" customWidth="true" hidden="false" outlineLevel="0" max="12" min="12" style="0" width="10"/>
    <col collapsed="false" customWidth="true" hidden="false" outlineLevel="0" max="13" min="13" style="0" width="9"/>
    <col collapsed="false" customWidth="true" hidden="false" outlineLevel="0" max="14" min="14" style="0" width="16"/>
    <col collapsed="false" customWidth="true" hidden="true" outlineLevel="0" max="17" min="16" style="0" width="13"/>
  </cols>
  <sheetData>
    <row r="1" customFormat="false" ht="30" hidden="false" customHeight="true" outlineLevel="0" collapsed="false">
      <c r="A1" s="14" t="s">
        <v>14</v>
      </c>
      <c r="B1" s="14" t="s">
        <v>15</v>
      </c>
      <c r="C1" s="14" t="s">
        <v>16</v>
      </c>
      <c r="D1" s="14" t="s">
        <v>17</v>
      </c>
      <c r="E1" s="14" t="s">
        <v>18</v>
      </c>
      <c r="F1" s="14" t="s">
        <v>19</v>
      </c>
      <c r="G1" s="14" t="s">
        <v>20</v>
      </c>
      <c r="H1" s="14" t="s">
        <v>21</v>
      </c>
      <c r="I1" s="14" t="s">
        <v>22</v>
      </c>
      <c r="J1" s="14" t="s">
        <v>23</v>
      </c>
      <c r="K1" s="14" t="s">
        <v>24</v>
      </c>
      <c r="L1" s="14" t="s">
        <v>25</v>
      </c>
      <c r="M1" s="14" t="s">
        <v>26</v>
      </c>
      <c r="N1" s="14" t="s">
        <v>27</v>
      </c>
      <c r="P1" s="0" t="s">
        <v>28</v>
      </c>
      <c r="Q1" s="0" t="s">
        <v>29</v>
      </c>
    </row>
    <row r="2" customFormat="false" ht="15" hidden="false" customHeight="false" outlineLevel="0" collapsed="false">
      <c r="A2" s="15" t="n">
        <v>1</v>
      </c>
      <c r="B2" s="15" t="s">
        <v>30</v>
      </c>
      <c r="C2" s="15" t="s">
        <v>31</v>
      </c>
      <c r="D2" s="16" t="s">
        <v>32</v>
      </c>
      <c r="E2" s="15" t="s">
        <v>33</v>
      </c>
      <c r="F2" s="15" t="s">
        <v>34</v>
      </c>
      <c r="G2" s="15" t="n">
        <v>74</v>
      </c>
      <c r="H2" s="15" t="n">
        <v>64</v>
      </c>
      <c r="I2" s="15" t="s">
        <v>35</v>
      </c>
      <c r="J2" s="17" t="n">
        <v>0.17</v>
      </c>
      <c r="K2" s="18" t="n">
        <v>-117</v>
      </c>
      <c r="L2" s="19" t="n">
        <f aca="false">K2/100</f>
        <v>-1.17</v>
      </c>
      <c r="M2" s="20" t="str">
        <f aca="false">IF(K2&gt;0,"WIN",IF(K2&lt;0,"LOSS","FLAT"))</f>
        <v>LOSS</v>
      </c>
      <c r="N2" s="19" t="n">
        <f aca="false">SUM($L$2:L2)</f>
        <v>-1.17</v>
      </c>
      <c r="P2" s="0" t="str">
        <f aca="false">IF(K2&gt;0,K2,"")</f>
        <v/>
      </c>
      <c r="Q2" s="21" t="n">
        <f aca="false">IF(K2&lt;0,K2,"")</f>
        <v>-117</v>
      </c>
    </row>
    <row r="3" customFormat="false" ht="15" hidden="false" customHeight="false" outlineLevel="0" collapsed="false">
      <c r="A3" s="22" t="n">
        <v>2</v>
      </c>
      <c r="B3" s="22" t="s">
        <v>30</v>
      </c>
      <c r="C3" s="22" t="s">
        <v>36</v>
      </c>
      <c r="D3" s="23" t="s">
        <v>37</v>
      </c>
      <c r="E3" s="22" t="s">
        <v>38</v>
      </c>
      <c r="F3" s="22" t="s">
        <v>34</v>
      </c>
      <c r="G3" s="22" t="n">
        <v>93</v>
      </c>
      <c r="H3" s="22" t="n">
        <v>98</v>
      </c>
      <c r="I3" s="22" t="s">
        <v>35</v>
      </c>
      <c r="J3" s="24" t="n">
        <v>0.02</v>
      </c>
      <c r="K3" s="25" t="n">
        <v>48</v>
      </c>
      <c r="L3" s="26" t="n">
        <f aca="false">K3/100</f>
        <v>0.48</v>
      </c>
      <c r="M3" s="27" t="str">
        <f aca="false">IF(K3&gt;0,"WIN",IF(K3&lt;0,"LOSS","FLAT"))</f>
        <v>WIN</v>
      </c>
      <c r="N3" s="26" t="n">
        <f aca="false">SUM($L$2:L3)</f>
        <v>-0.69</v>
      </c>
      <c r="P3" s="21" t="n">
        <f aca="false">IF(K3&gt;0,K3,"")</f>
        <v>48</v>
      </c>
      <c r="Q3" s="0" t="str">
        <f aca="false">IF(K3&lt;0,K3,"")</f>
        <v/>
      </c>
    </row>
    <row r="4" customFormat="false" ht="15" hidden="false" customHeight="false" outlineLevel="0" collapsed="false">
      <c r="A4" s="15" t="n">
        <v>3</v>
      </c>
      <c r="B4" s="15" t="s">
        <v>30</v>
      </c>
      <c r="C4" s="15" t="s">
        <v>39</v>
      </c>
      <c r="D4" s="16" t="s">
        <v>32</v>
      </c>
      <c r="E4" s="15" t="s">
        <v>40</v>
      </c>
      <c r="F4" s="15" t="s">
        <v>34</v>
      </c>
      <c r="G4" s="15" t="n">
        <v>40</v>
      </c>
      <c r="H4" s="15" t="n">
        <v>22</v>
      </c>
      <c r="I4" s="15" t="s">
        <v>41</v>
      </c>
      <c r="J4" s="17" t="n">
        <v>0</v>
      </c>
      <c r="K4" s="18" t="n">
        <v>-180</v>
      </c>
      <c r="L4" s="19" t="n">
        <f aca="false">K4/100</f>
        <v>-1.8</v>
      </c>
      <c r="M4" s="20" t="str">
        <f aca="false">IF(K4&gt;0,"WIN",IF(K4&lt;0,"LOSS","FLAT"))</f>
        <v>LOSS</v>
      </c>
      <c r="N4" s="19" t="n">
        <f aca="false">SUM($L$2:L4)</f>
        <v>-2.49</v>
      </c>
      <c r="P4" s="0" t="str">
        <f aca="false">IF(K4&gt;0,K4,"")</f>
        <v/>
      </c>
      <c r="Q4" s="21" t="n">
        <f aca="false">IF(K4&lt;0,K4,"")</f>
        <v>-180</v>
      </c>
    </row>
    <row r="5" customFormat="false" ht="15" hidden="false" customHeight="false" outlineLevel="0" collapsed="false">
      <c r="A5" s="22" t="n">
        <v>4</v>
      </c>
      <c r="B5" s="22" t="s">
        <v>30</v>
      </c>
      <c r="C5" s="22" t="s">
        <v>42</v>
      </c>
      <c r="D5" s="23" t="s">
        <v>43</v>
      </c>
      <c r="E5" s="22" t="s">
        <v>44</v>
      </c>
      <c r="F5" s="22" t="s">
        <v>34</v>
      </c>
      <c r="G5" s="22" t="n">
        <v>49</v>
      </c>
      <c r="H5" s="22" t="n">
        <v>35</v>
      </c>
      <c r="I5" s="22" t="s">
        <v>35</v>
      </c>
      <c r="J5" s="24" t="n">
        <v>0.16</v>
      </c>
      <c r="K5" s="25" t="n">
        <v>-156</v>
      </c>
      <c r="L5" s="26" t="n">
        <f aca="false">K5/100</f>
        <v>-1.56</v>
      </c>
      <c r="M5" s="27" t="str">
        <f aca="false">IF(K5&gt;0,"WIN",IF(K5&lt;0,"LOSS","FLAT"))</f>
        <v>LOSS</v>
      </c>
      <c r="N5" s="26" t="n">
        <f aca="false">SUM($L$2:L5)</f>
        <v>-4.05</v>
      </c>
      <c r="P5" s="0" t="str">
        <f aca="false">IF(K5&gt;0,K5,"")</f>
        <v/>
      </c>
      <c r="Q5" s="21" t="n">
        <f aca="false">IF(K5&lt;0,K5,"")</f>
        <v>-156</v>
      </c>
    </row>
    <row r="6" customFormat="false" ht="15" hidden="false" customHeight="false" outlineLevel="0" collapsed="false">
      <c r="A6" s="15" t="n">
        <v>5</v>
      </c>
      <c r="B6" s="15" t="s">
        <v>30</v>
      </c>
      <c r="C6" s="15" t="s">
        <v>42</v>
      </c>
      <c r="D6" s="16" t="s">
        <v>45</v>
      </c>
      <c r="E6" s="15" t="s">
        <v>46</v>
      </c>
      <c r="F6" s="15" t="s">
        <v>34</v>
      </c>
      <c r="G6" s="15" t="n">
        <v>48</v>
      </c>
      <c r="H6" s="15" t="n">
        <v>50</v>
      </c>
      <c r="I6" s="15" t="s">
        <v>41</v>
      </c>
      <c r="J6" s="17" t="n">
        <v>0</v>
      </c>
      <c r="K6" s="18" t="n">
        <v>20</v>
      </c>
      <c r="L6" s="19" t="n">
        <f aca="false">K6/100</f>
        <v>0.2</v>
      </c>
      <c r="M6" s="20" t="str">
        <f aca="false">IF(K6&gt;0,"WIN",IF(K6&lt;0,"LOSS","FLAT"))</f>
        <v>WIN</v>
      </c>
      <c r="N6" s="19" t="n">
        <f aca="false">SUM($L$2:L6)</f>
        <v>-3.85</v>
      </c>
      <c r="P6" s="21" t="n">
        <f aca="false">IF(K6&gt;0,K6,"")</f>
        <v>20</v>
      </c>
      <c r="Q6" s="0" t="str">
        <f aca="false">IF(K6&lt;0,K6,"")</f>
        <v/>
      </c>
    </row>
    <row r="7" customFormat="false" ht="15" hidden="false" customHeight="false" outlineLevel="0" collapsed="false">
      <c r="A7" s="22" t="n">
        <v>6</v>
      </c>
      <c r="B7" s="22" t="s">
        <v>30</v>
      </c>
      <c r="C7" s="22" t="s">
        <v>47</v>
      </c>
      <c r="D7" s="23" t="s">
        <v>48</v>
      </c>
      <c r="E7" s="22" t="s">
        <v>49</v>
      </c>
      <c r="F7" s="22" t="s">
        <v>34</v>
      </c>
      <c r="G7" s="22" t="n">
        <v>71</v>
      </c>
      <c r="H7" s="22" t="n">
        <v>95</v>
      </c>
      <c r="I7" s="22" t="s">
        <v>41</v>
      </c>
      <c r="J7" s="24" t="n">
        <v>0</v>
      </c>
      <c r="K7" s="25" t="n">
        <v>240</v>
      </c>
      <c r="L7" s="26" t="n">
        <f aca="false">K7/100</f>
        <v>2.4</v>
      </c>
      <c r="M7" s="27" t="str">
        <f aca="false">IF(K7&gt;0,"WIN",IF(K7&lt;0,"LOSS","FLAT"))</f>
        <v>WIN</v>
      </c>
      <c r="N7" s="26" t="n">
        <f aca="false">SUM($L$2:L7)</f>
        <v>-1.45</v>
      </c>
      <c r="P7" s="21" t="n">
        <f aca="false">IF(K7&gt;0,K7,"")</f>
        <v>240</v>
      </c>
      <c r="Q7" s="0" t="str">
        <f aca="false">IF(K7&lt;0,K7,"")</f>
        <v/>
      </c>
    </row>
    <row r="8" customFormat="false" ht="15" hidden="false" customHeight="false" outlineLevel="0" collapsed="false">
      <c r="A8" s="15" t="n">
        <v>7</v>
      </c>
      <c r="B8" s="15" t="s">
        <v>30</v>
      </c>
      <c r="C8" s="15" t="s">
        <v>50</v>
      </c>
      <c r="D8" s="16" t="s">
        <v>43</v>
      </c>
      <c r="E8" s="15" t="s">
        <v>51</v>
      </c>
      <c r="F8" s="15" t="s">
        <v>34</v>
      </c>
      <c r="G8" s="15" t="n">
        <v>68</v>
      </c>
      <c r="H8" s="15" t="n">
        <v>65</v>
      </c>
      <c r="I8" s="15" t="s">
        <v>41</v>
      </c>
      <c r="J8" s="17" t="n">
        <v>0</v>
      </c>
      <c r="K8" s="18" t="n">
        <v>-30</v>
      </c>
      <c r="L8" s="19" t="n">
        <f aca="false">K8/100</f>
        <v>-0.3</v>
      </c>
      <c r="M8" s="20" t="str">
        <f aca="false">IF(K8&gt;0,"WIN",IF(K8&lt;0,"LOSS","FLAT"))</f>
        <v>LOSS</v>
      </c>
      <c r="N8" s="19" t="n">
        <f aca="false">SUM($L$2:L8)</f>
        <v>-1.75</v>
      </c>
      <c r="P8" s="0" t="str">
        <f aca="false">IF(K8&gt;0,K8,"")</f>
        <v/>
      </c>
      <c r="Q8" s="21" t="n">
        <f aca="false">IF(K8&lt;0,K8,"")</f>
        <v>-30</v>
      </c>
    </row>
    <row r="9" customFormat="false" ht="15" hidden="false" customHeight="false" outlineLevel="0" collapsed="false">
      <c r="A9" s="22" t="n">
        <v>8</v>
      </c>
      <c r="B9" s="22" t="s">
        <v>30</v>
      </c>
      <c r="C9" s="22" t="s">
        <v>52</v>
      </c>
      <c r="D9" s="23" t="s">
        <v>45</v>
      </c>
      <c r="E9" s="22" t="s">
        <v>53</v>
      </c>
      <c r="F9" s="22" t="s">
        <v>34</v>
      </c>
      <c r="G9" s="22" t="n">
        <v>47</v>
      </c>
      <c r="H9" s="22" t="n">
        <v>33</v>
      </c>
      <c r="I9" s="22" t="s">
        <v>41</v>
      </c>
      <c r="J9" s="24" t="n">
        <v>0</v>
      </c>
      <c r="K9" s="25" t="n">
        <v>-140</v>
      </c>
      <c r="L9" s="26" t="n">
        <f aca="false">K9/100</f>
        <v>-1.4</v>
      </c>
      <c r="M9" s="27" t="str">
        <f aca="false">IF(K9&gt;0,"WIN",IF(K9&lt;0,"LOSS","FLAT"))</f>
        <v>LOSS</v>
      </c>
      <c r="N9" s="26" t="n">
        <f aca="false">SUM($L$2:L9)</f>
        <v>-3.15</v>
      </c>
      <c r="P9" s="0" t="str">
        <f aca="false">IF(K9&gt;0,K9,"")</f>
        <v/>
      </c>
      <c r="Q9" s="21" t="n">
        <f aca="false">IF(K9&lt;0,K9,"")</f>
        <v>-140</v>
      </c>
    </row>
    <row r="10" customFormat="false" ht="15" hidden="false" customHeight="false" outlineLevel="0" collapsed="false">
      <c r="A10" s="15" t="n">
        <v>9</v>
      </c>
      <c r="B10" s="15" t="s">
        <v>30</v>
      </c>
      <c r="C10" s="15" t="s">
        <v>54</v>
      </c>
      <c r="D10" s="16" t="s">
        <v>55</v>
      </c>
      <c r="E10" s="15" t="s">
        <v>56</v>
      </c>
      <c r="F10" s="15" t="s">
        <v>34</v>
      </c>
      <c r="G10" s="15" t="n">
        <v>81</v>
      </c>
      <c r="H10" s="15" t="n">
        <v>75</v>
      </c>
      <c r="I10" s="15" t="s">
        <v>35</v>
      </c>
      <c r="J10" s="17" t="n">
        <v>0.14</v>
      </c>
      <c r="K10" s="18" t="n">
        <v>-74</v>
      </c>
      <c r="L10" s="19" t="n">
        <f aca="false">K10/100</f>
        <v>-0.74</v>
      </c>
      <c r="M10" s="20" t="str">
        <f aca="false">IF(K10&gt;0,"WIN",IF(K10&lt;0,"LOSS","FLAT"))</f>
        <v>LOSS</v>
      </c>
      <c r="N10" s="19" t="n">
        <f aca="false">SUM($L$2:L10)</f>
        <v>-3.89</v>
      </c>
      <c r="P10" s="0" t="str">
        <f aca="false">IF(K10&gt;0,K10,"")</f>
        <v/>
      </c>
      <c r="Q10" s="21" t="n">
        <f aca="false">IF(K10&lt;0,K10,"")</f>
        <v>-74</v>
      </c>
    </row>
    <row r="11" customFormat="false" ht="15" hidden="false" customHeight="false" outlineLevel="0" collapsed="false">
      <c r="A11" s="22" t="n">
        <v>10</v>
      </c>
      <c r="B11" s="22" t="s">
        <v>30</v>
      </c>
      <c r="C11" s="22" t="s">
        <v>57</v>
      </c>
      <c r="D11" s="23" t="s">
        <v>32</v>
      </c>
      <c r="E11" s="22" t="s">
        <v>33</v>
      </c>
      <c r="F11" s="22" t="s">
        <v>34</v>
      </c>
      <c r="G11" s="22" t="n">
        <v>95</v>
      </c>
      <c r="H11" s="22" t="n">
        <v>96</v>
      </c>
      <c r="I11" s="22" t="s">
        <v>41</v>
      </c>
      <c r="J11" s="24" t="n">
        <v>0</v>
      </c>
      <c r="K11" s="25" t="n">
        <v>10</v>
      </c>
      <c r="L11" s="26" t="n">
        <f aca="false">K11/100</f>
        <v>0.1</v>
      </c>
      <c r="M11" s="27" t="str">
        <f aca="false">IF(K11&gt;0,"WIN",IF(K11&lt;0,"LOSS","FLAT"))</f>
        <v>WIN</v>
      </c>
      <c r="N11" s="26" t="n">
        <f aca="false">SUM($L$2:L11)</f>
        <v>-3.79</v>
      </c>
      <c r="P11" s="21" t="n">
        <f aca="false">IF(K11&gt;0,K11,"")</f>
        <v>10</v>
      </c>
      <c r="Q11" s="0" t="str">
        <f aca="false">IF(K11&lt;0,K11,"")</f>
        <v/>
      </c>
    </row>
    <row r="12" customFormat="false" ht="15" hidden="false" customHeight="false" outlineLevel="0" collapsed="false">
      <c r="A12" s="15" t="n">
        <v>11</v>
      </c>
      <c r="B12" s="15" t="s">
        <v>30</v>
      </c>
      <c r="C12" s="15" t="s">
        <v>58</v>
      </c>
      <c r="D12" s="16" t="s">
        <v>59</v>
      </c>
      <c r="E12" s="15" t="s">
        <v>60</v>
      </c>
      <c r="F12" s="15" t="s">
        <v>34</v>
      </c>
      <c r="G12" s="15" t="n">
        <v>29</v>
      </c>
      <c r="H12" s="15" t="n">
        <v>15</v>
      </c>
      <c r="I12" s="15" t="s">
        <v>41</v>
      </c>
      <c r="J12" s="17" t="n">
        <v>0</v>
      </c>
      <c r="K12" s="18" t="n">
        <v>-140</v>
      </c>
      <c r="L12" s="19" t="n">
        <f aca="false">K12/100</f>
        <v>-1.4</v>
      </c>
      <c r="M12" s="20" t="str">
        <f aca="false">IF(K12&gt;0,"WIN",IF(K12&lt;0,"LOSS","FLAT"))</f>
        <v>LOSS</v>
      </c>
      <c r="N12" s="19" t="n">
        <f aca="false">SUM($L$2:L12)</f>
        <v>-5.19</v>
      </c>
      <c r="P12" s="0" t="str">
        <f aca="false">IF(K12&gt;0,K12,"")</f>
        <v/>
      </c>
      <c r="Q12" s="21" t="n">
        <f aca="false">IF(K12&lt;0,K12,"")</f>
        <v>-140</v>
      </c>
    </row>
    <row r="13" customFormat="false" ht="15" hidden="false" customHeight="false" outlineLevel="0" collapsed="false">
      <c r="A13" s="22" t="n">
        <v>12</v>
      </c>
      <c r="B13" s="22" t="s">
        <v>30</v>
      </c>
      <c r="C13" s="22" t="s">
        <v>61</v>
      </c>
      <c r="D13" s="23" t="s">
        <v>48</v>
      </c>
      <c r="E13" s="22" t="s">
        <v>62</v>
      </c>
      <c r="F13" s="22" t="s">
        <v>34</v>
      </c>
      <c r="G13" s="22" t="n">
        <v>7</v>
      </c>
      <c r="H13" s="22" t="n">
        <v>1</v>
      </c>
      <c r="I13" s="22" t="s">
        <v>35</v>
      </c>
      <c r="J13" s="24" t="n">
        <v>0.01</v>
      </c>
      <c r="K13" s="25" t="n">
        <v>-61</v>
      </c>
      <c r="L13" s="26" t="n">
        <f aca="false">K13/100</f>
        <v>-0.61</v>
      </c>
      <c r="M13" s="27" t="str">
        <f aca="false">IF(K13&gt;0,"WIN",IF(K13&lt;0,"LOSS","FLAT"))</f>
        <v>LOSS</v>
      </c>
      <c r="N13" s="26" t="n">
        <f aca="false">SUM($L$2:L13)</f>
        <v>-5.8</v>
      </c>
      <c r="P13" s="0" t="str">
        <f aca="false">IF(K13&gt;0,K13,"")</f>
        <v/>
      </c>
      <c r="Q13" s="21" t="n">
        <f aca="false">IF(K13&lt;0,K13,"")</f>
        <v>-61</v>
      </c>
    </row>
    <row r="14" customFormat="false" ht="15" hidden="false" customHeight="false" outlineLevel="0" collapsed="false">
      <c r="A14" s="15" t="n">
        <v>13</v>
      </c>
      <c r="B14" s="15" t="s">
        <v>30</v>
      </c>
      <c r="C14" s="15" t="s">
        <v>63</v>
      </c>
      <c r="D14" s="16" t="s">
        <v>43</v>
      </c>
      <c r="E14" s="15" t="s">
        <v>44</v>
      </c>
      <c r="F14" s="15" t="s">
        <v>34</v>
      </c>
      <c r="G14" s="15" t="n">
        <v>36</v>
      </c>
      <c r="H14" s="15" t="n">
        <v>39</v>
      </c>
      <c r="I14" s="15" t="s">
        <v>41</v>
      </c>
      <c r="J14" s="17" t="n">
        <v>0</v>
      </c>
      <c r="K14" s="18" t="n">
        <v>30</v>
      </c>
      <c r="L14" s="19" t="n">
        <f aca="false">K14/100</f>
        <v>0.3</v>
      </c>
      <c r="M14" s="20" t="str">
        <f aca="false">IF(K14&gt;0,"WIN",IF(K14&lt;0,"LOSS","FLAT"))</f>
        <v>WIN</v>
      </c>
      <c r="N14" s="19" t="n">
        <f aca="false">SUM($L$2:L14)</f>
        <v>-5.5</v>
      </c>
      <c r="P14" s="21" t="n">
        <f aca="false">IF(K14&gt;0,K14,"")</f>
        <v>30</v>
      </c>
      <c r="Q14" s="0" t="str">
        <f aca="false">IF(K14&lt;0,K14,"")</f>
        <v/>
      </c>
    </row>
    <row r="15" customFormat="false" ht="15" hidden="false" customHeight="false" outlineLevel="0" collapsed="false">
      <c r="A15" s="22" t="n">
        <v>14</v>
      </c>
      <c r="B15" s="22" t="s">
        <v>30</v>
      </c>
      <c r="C15" s="22" t="s">
        <v>64</v>
      </c>
      <c r="D15" s="23" t="s">
        <v>45</v>
      </c>
      <c r="E15" s="22" t="s">
        <v>53</v>
      </c>
      <c r="F15" s="22" t="s">
        <v>34</v>
      </c>
      <c r="G15" s="22" t="n">
        <v>28</v>
      </c>
      <c r="H15" s="22" t="n">
        <v>16</v>
      </c>
      <c r="I15" s="22" t="s">
        <v>35</v>
      </c>
      <c r="J15" s="24" t="n">
        <v>0.1</v>
      </c>
      <c r="K15" s="25" t="n">
        <v>-130</v>
      </c>
      <c r="L15" s="26" t="n">
        <f aca="false">K15/100</f>
        <v>-1.3</v>
      </c>
      <c r="M15" s="27" t="str">
        <f aca="false">IF(K15&gt;0,"WIN",IF(K15&lt;0,"LOSS","FLAT"))</f>
        <v>LOSS</v>
      </c>
      <c r="N15" s="26" t="n">
        <f aca="false">SUM($L$2:L15)</f>
        <v>-6.8</v>
      </c>
      <c r="P15" s="0" t="str">
        <f aca="false">IF(K15&gt;0,K15,"")</f>
        <v/>
      </c>
      <c r="Q15" s="21" t="n">
        <f aca="false">IF(K15&lt;0,K15,"")</f>
        <v>-130</v>
      </c>
    </row>
    <row r="16" customFormat="false" ht="15" hidden="false" customHeight="false" outlineLevel="0" collapsed="false">
      <c r="A16" s="15" t="n">
        <v>15</v>
      </c>
      <c r="B16" s="15" t="s">
        <v>30</v>
      </c>
      <c r="C16" s="15" t="s">
        <v>65</v>
      </c>
      <c r="D16" s="16" t="s">
        <v>55</v>
      </c>
      <c r="E16" s="15" t="s">
        <v>56</v>
      </c>
      <c r="F16" s="15" t="s">
        <v>34</v>
      </c>
      <c r="G16" s="15" t="n">
        <v>88</v>
      </c>
      <c r="H16" s="15" t="n">
        <v>86</v>
      </c>
      <c r="I16" s="15" t="s">
        <v>35</v>
      </c>
      <c r="J16" s="17" t="n">
        <v>0.09</v>
      </c>
      <c r="K16" s="18" t="n">
        <v>-29</v>
      </c>
      <c r="L16" s="19" t="n">
        <f aca="false">K16/100</f>
        <v>-0.29</v>
      </c>
      <c r="M16" s="20" t="str">
        <f aca="false">IF(K16&gt;0,"WIN",IF(K16&lt;0,"LOSS","FLAT"))</f>
        <v>LOSS</v>
      </c>
      <c r="N16" s="19" t="n">
        <f aca="false">SUM($L$2:L16)</f>
        <v>-7.09</v>
      </c>
      <c r="P16" s="0" t="str">
        <f aca="false">IF(K16&gt;0,K16,"")</f>
        <v/>
      </c>
      <c r="Q16" s="21" t="n">
        <f aca="false">IF(K16&lt;0,K16,"")</f>
        <v>-29</v>
      </c>
    </row>
    <row r="17" customFormat="false" ht="15" hidden="false" customHeight="false" outlineLevel="0" collapsed="false">
      <c r="A17" s="22" t="n">
        <v>16</v>
      </c>
      <c r="B17" s="22" t="s">
        <v>30</v>
      </c>
      <c r="C17" s="22" t="s">
        <v>66</v>
      </c>
      <c r="D17" s="23" t="s">
        <v>67</v>
      </c>
      <c r="E17" s="22" t="s">
        <v>68</v>
      </c>
      <c r="F17" s="22" t="s">
        <v>34</v>
      </c>
      <c r="G17" s="22" t="n">
        <v>55</v>
      </c>
      <c r="H17" s="22" t="n">
        <v>43</v>
      </c>
      <c r="I17" s="22" t="s">
        <v>41</v>
      </c>
      <c r="J17" s="24" t="n">
        <v>0</v>
      </c>
      <c r="K17" s="25" t="n">
        <v>-120</v>
      </c>
      <c r="L17" s="26" t="n">
        <f aca="false">K17/100</f>
        <v>-1.2</v>
      </c>
      <c r="M17" s="27" t="str">
        <f aca="false">IF(K17&gt;0,"WIN",IF(K17&lt;0,"LOSS","FLAT"))</f>
        <v>LOSS</v>
      </c>
      <c r="N17" s="26" t="n">
        <f aca="false">SUM($L$2:L17)</f>
        <v>-8.29</v>
      </c>
      <c r="P17" s="0" t="str">
        <f aca="false">IF(K17&gt;0,K17,"")</f>
        <v/>
      </c>
      <c r="Q17" s="21" t="n">
        <f aca="false">IF(K17&lt;0,K17,"")</f>
        <v>-120</v>
      </c>
    </row>
    <row r="18" customFormat="false" ht="15" hidden="false" customHeight="false" outlineLevel="0" collapsed="false">
      <c r="A18" s="15" t="n">
        <v>17</v>
      </c>
      <c r="B18" s="15" t="s">
        <v>30</v>
      </c>
      <c r="C18" s="15" t="s">
        <v>69</v>
      </c>
      <c r="D18" s="16" t="s">
        <v>67</v>
      </c>
      <c r="E18" s="15" t="s">
        <v>70</v>
      </c>
      <c r="F18" s="15" t="s">
        <v>34</v>
      </c>
      <c r="G18" s="15" t="n">
        <v>58</v>
      </c>
      <c r="H18" s="15" t="n">
        <v>64</v>
      </c>
      <c r="I18" s="15" t="s">
        <v>41</v>
      </c>
      <c r="J18" s="17" t="n">
        <v>0</v>
      </c>
      <c r="K18" s="18" t="n">
        <v>60</v>
      </c>
      <c r="L18" s="19" t="n">
        <f aca="false">K18/100</f>
        <v>0.6</v>
      </c>
      <c r="M18" s="20" t="str">
        <f aca="false">IF(K18&gt;0,"WIN",IF(K18&lt;0,"LOSS","FLAT"))</f>
        <v>WIN</v>
      </c>
      <c r="N18" s="19" t="n">
        <f aca="false">SUM($L$2:L18)</f>
        <v>-7.69</v>
      </c>
      <c r="P18" s="21" t="n">
        <f aca="false">IF(K18&gt;0,K18,"")</f>
        <v>60</v>
      </c>
      <c r="Q18" s="0" t="str">
        <f aca="false">IF(K18&lt;0,K18,"")</f>
        <v/>
      </c>
    </row>
    <row r="19" customFormat="false" ht="15" hidden="false" customHeight="false" outlineLevel="0" collapsed="false">
      <c r="A19" s="22" t="n">
        <v>18</v>
      </c>
      <c r="B19" s="22" t="s">
        <v>30</v>
      </c>
      <c r="C19" s="22" t="s">
        <v>69</v>
      </c>
      <c r="D19" s="23" t="s">
        <v>45</v>
      </c>
      <c r="E19" s="22" t="s">
        <v>46</v>
      </c>
      <c r="F19" s="22" t="s">
        <v>34</v>
      </c>
      <c r="G19" s="22" t="n">
        <v>84</v>
      </c>
      <c r="H19" s="22" t="n">
        <v>83</v>
      </c>
      <c r="I19" s="22" t="s">
        <v>41</v>
      </c>
      <c r="J19" s="24" t="n">
        <v>0</v>
      </c>
      <c r="K19" s="25" t="n">
        <v>-10</v>
      </c>
      <c r="L19" s="26" t="n">
        <f aca="false">K19/100</f>
        <v>-0.1</v>
      </c>
      <c r="M19" s="27" t="str">
        <f aca="false">IF(K19&gt;0,"WIN",IF(K19&lt;0,"LOSS","FLAT"))</f>
        <v>LOSS</v>
      </c>
      <c r="N19" s="26" t="n">
        <f aca="false">SUM($L$2:L19)</f>
        <v>-7.79</v>
      </c>
      <c r="P19" s="0" t="str">
        <f aca="false">IF(K19&gt;0,K19,"")</f>
        <v/>
      </c>
      <c r="Q19" s="21" t="n">
        <f aca="false">IF(K19&lt;0,K19,"")</f>
        <v>-10</v>
      </c>
    </row>
    <row r="20" customFormat="false" ht="15" hidden="false" customHeight="false" outlineLevel="0" collapsed="false">
      <c r="A20" s="15" t="n">
        <v>19</v>
      </c>
      <c r="B20" s="15" t="s">
        <v>30</v>
      </c>
      <c r="C20" s="15" t="s">
        <v>71</v>
      </c>
      <c r="D20" s="16" t="s">
        <v>43</v>
      </c>
      <c r="E20" s="15" t="s">
        <v>44</v>
      </c>
      <c r="F20" s="15" t="s">
        <v>34</v>
      </c>
      <c r="G20" s="15" t="n">
        <v>46</v>
      </c>
      <c r="H20" s="15" t="n">
        <v>25</v>
      </c>
      <c r="I20" s="15" t="s">
        <v>35</v>
      </c>
      <c r="J20" s="17" t="n">
        <v>0.14</v>
      </c>
      <c r="K20" s="18" t="n">
        <v>-224</v>
      </c>
      <c r="L20" s="19" t="n">
        <f aca="false">K20/100</f>
        <v>-2.24</v>
      </c>
      <c r="M20" s="20" t="str">
        <f aca="false">IF(K20&gt;0,"WIN",IF(K20&lt;0,"LOSS","FLAT"))</f>
        <v>LOSS</v>
      </c>
      <c r="N20" s="19" t="n">
        <f aca="false">SUM($L$2:L20)</f>
        <v>-10.03</v>
      </c>
      <c r="P20" s="0" t="str">
        <f aca="false">IF(K20&gt;0,K20,"")</f>
        <v/>
      </c>
      <c r="Q20" s="21" t="n">
        <f aca="false">IF(K20&lt;0,K20,"")</f>
        <v>-224</v>
      </c>
    </row>
    <row r="21" customFormat="false" ht="15" hidden="false" customHeight="false" outlineLevel="0" collapsed="false">
      <c r="A21" s="22" t="n">
        <v>20</v>
      </c>
      <c r="B21" s="22" t="s">
        <v>30</v>
      </c>
      <c r="C21" s="22" t="s">
        <v>71</v>
      </c>
      <c r="D21" s="23" t="s">
        <v>55</v>
      </c>
      <c r="E21" s="22" t="s">
        <v>72</v>
      </c>
      <c r="F21" s="22" t="s">
        <v>34</v>
      </c>
      <c r="G21" s="22" t="n">
        <v>22</v>
      </c>
      <c r="H21" s="22" t="n">
        <v>14</v>
      </c>
      <c r="I21" s="22" t="s">
        <v>35</v>
      </c>
      <c r="J21" s="24" t="n">
        <v>0.09</v>
      </c>
      <c r="K21" s="25" t="n">
        <v>-89</v>
      </c>
      <c r="L21" s="26" t="n">
        <f aca="false">K21/100</f>
        <v>-0.89</v>
      </c>
      <c r="M21" s="27" t="str">
        <f aca="false">IF(K21&gt;0,"WIN",IF(K21&lt;0,"LOSS","FLAT"))</f>
        <v>LOSS</v>
      </c>
      <c r="N21" s="26" t="n">
        <f aca="false">SUM($L$2:L21)</f>
        <v>-10.92</v>
      </c>
      <c r="P21" s="0" t="str">
        <f aca="false">IF(K21&gt;0,K21,"")</f>
        <v/>
      </c>
      <c r="Q21" s="21" t="n">
        <f aca="false">IF(K21&lt;0,K21,"")</f>
        <v>-89</v>
      </c>
    </row>
    <row r="22" customFormat="false" ht="15" hidden="false" customHeight="false" outlineLevel="0" collapsed="false">
      <c r="A22" s="15" t="n">
        <v>21</v>
      </c>
      <c r="B22" s="15" t="s">
        <v>30</v>
      </c>
      <c r="C22" s="15" t="s">
        <v>73</v>
      </c>
      <c r="D22" s="16" t="s">
        <v>45</v>
      </c>
      <c r="E22" s="15" t="s">
        <v>46</v>
      </c>
      <c r="F22" s="15" t="s">
        <v>34</v>
      </c>
      <c r="G22" s="15" t="n">
        <v>81</v>
      </c>
      <c r="H22" s="15" t="n">
        <v>79</v>
      </c>
      <c r="I22" s="15" t="s">
        <v>35</v>
      </c>
      <c r="J22" s="17" t="n">
        <v>0.12</v>
      </c>
      <c r="K22" s="18" t="n">
        <v>-32</v>
      </c>
      <c r="L22" s="19" t="n">
        <f aca="false">K22/100</f>
        <v>-0.32</v>
      </c>
      <c r="M22" s="20" t="str">
        <f aca="false">IF(K22&gt;0,"WIN",IF(K22&lt;0,"LOSS","FLAT"))</f>
        <v>LOSS</v>
      </c>
      <c r="N22" s="19" t="n">
        <f aca="false">SUM($L$2:L22)</f>
        <v>-11.24</v>
      </c>
      <c r="P22" s="0" t="str">
        <f aca="false">IF(K22&gt;0,K22,"")</f>
        <v/>
      </c>
      <c r="Q22" s="21" t="n">
        <f aca="false">IF(K22&lt;0,K22,"")</f>
        <v>-32</v>
      </c>
    </row>
    <row r="23" customFormat="false" ht="15" hidden="false" customHeight="false" outlineLevel="0" collapsed="false">
      <c r="A23" s="22" t="n">
        <v>22</v>
      </c>
      <c r="B23" s="22" t="s">
        <v>30</v>
      </c>
      <c r="C23" s="22" t="s">
        <v>74</v>
      </c>
      <c r="D23" s="23" t="s">
        <v>75</v>
      </c>
      <c r="E23" s="22" t="s">
        <v>76</v>
      </c>
      <c r="F23" s="22" t="s">
        <v>34</v>
      </c>
      <c r="G23" s="22" t="n">
        <v>50</v>
      </c>
      <c r="H23" s="22" t="n">
        <v>42</v>
      </c>
      <c r="I23" s="22" t="s">
        <v>41</v>
      </c>
      <c r="J23" s="24" t="n">
        <v>0</v>
      </c>
      <c r="K23" s="25" t="n">
        <v>-80</v>
      </c>
      <c r="L23" s="26" t="n">
        <f aca="false">K23/100</f>
        <v>-0.8</v>
      </c>
      <c r="M23" s="27" t="str">
        <f aca="false">IF(K23&gt;0,"WIN",IF(K23&lt;0,"LOSS","FLAT"))</f>
        <v>LOSS</v>
      </c>
      <c r="N23" s="26" t="n">
        <f aca="false">SUM($L$2:L23)</f>
        <v>-12.04</v>
      </c>
      <c r="P23" s="0" t="str">
        <f aca="false">IF(K23&gt;0,K23,"")</f>
        <v/>
      </c>
      <c r="Q23" s="21" t="n">
        <f aca="false">IF(K23&lt;0,K23,"")</f>
        <v>-80</v>
      </c>
    </row>
    <row r="24" customFormat="false" ht="15" hidden="false" customHeight="false" outlineLevel="0" collapsed="false">
      <c r="A24" s="15" t="n">
        <v>23</v>
      </c>
      <c r="B24" s="15" t="s">
        <v>30</v>
      </c>
      <c r="C24" s="15" t="s">
        <v>77</v>
      </c>
      <c r="D24" s="16" t="s">
        <v>43</v>
      </c>
      <c r="E24" s="15" t="s">
        <v>51</v>
      </c>
      <c r="F24" s="15" t="s">
        <v>34</v>
      </c>
      <c r="G24" s="15" t="n">
        <v>90</v>
      </c>
      <c r="H24" s="15" t="n">
        <v>91</v>
      </c>
      <c r="I24" s="15" t="s">
        <v>41</v>
      </c>
      <c r="J24" s="17" t="n">
        <v>0</v>
      </c>
      <c r="K24" s="18" t="n">
        <v>10</v>
      </c>
      <c r="L24" s="19" t="n">
        <f aca="false">K24/100</f>
        <v>0.1</v>
      </c>
      <c r="M24" s="20" t="str">
        <f aca="false">IF(K24&gt;0,"WIN",IF(K24&lt;0,"LOSS","FLAT"))</f>
        <v>WIN</v>
      </c>
      <c r="N24" s="19" t="n">
        <f aca="false">SUM($L$2:L24)</f>
        <v>-11.94</v>
      </c>
      <c r="P24" s="21" t="n">
        <f aca="false">IF(K24&gt;0,K24,"")</f>
        <v>10</v>
      </c>
      <c r="Q24" s="0" t="str">
        <f aca="false">IF(K24&lt;0,K24,"")</f>
        <v/>
      </c>
    </row>
    <row r="25" customFormat="false" ht="15" hidden="false" customHeight="false" outlineLevel="0" collapsed="false">
      <c r="A25" s="22" t="n">
        <v>24</v>
      </c>
      <c r="B25" s="22" t="s">
        <v>30</v>
      </c>
      <c r="C25" s="22" t="s">
        <v>78</v>
      </c>
      <c r="D25" s="23" t="s">
        <v>45</v>
      </c>
      <c r="E25" s="22" t="s">
        <v>53</v>
      </c>
      <c r="F25" s="22" t="s">
        <v>34</v>
      </c>
      <c r="G25" s="22" t="n">
        <v>28</v>
      </c>
      <c r="H25" s="22" t="n">
        <v>43</v>
      </c>
      <c r="I25" s="22" t="s">
        <v>41</v>
      </c>
      <c r="J25" s="24" t="n">
        <v>0</v>
      </c>
      <c r="K25" s="25" t="n">
        <v>150</v>
      </c>
      <c r="L25" s="26" t="n">
        <f aca="false">K25/100</f>
        <v>1.5</v>
      </c>
      <c r="M25" s="27" t="str">
        <f aca="false">IF(K25&gt;0,"WIN",IF(K25&lt;0,"LOSS","FLAT"))</f>
        <v>WIN</v>
      </c>
      <c r="N25" s="26" t="n">
        <f aca="false">SUM($L$2:L25)</f>
        <v>-10.44</v>
      </c>
      <c r="P25" s="21" t="n">
        <f aca="false">IF(K25&gt;0,K25,"")</f>
        <v>150</v>
      </c>
      <c r="Q25" s="0" t="str">
        <f aca="false">IF(K25&lt;0,K25,"")</f>
        <v/>
      </c>
    </row>
    <row r="26" customFormat="false" ht="15" hidden="false" customHeight="false" outlineLevel="0" collapsed="false">
      <c r="A26" s="15" t="n">
        <v>25</v>
      </c>
      <c r="B26" s="15" t="s">
        <v>30</v>
      </c>
      <c r="C26" s="15" t="s">
        <v>79</v>
      </c>
      <c r="D26" s="16" t="s">
        <v>45</v>
      </c>
      <c r="E26" s="15" t="s">
        <v>53</v>
      </c>
      <c r="F26" s="15" t="s">
        <v>34</v>
      </c>
      <c r="G26" s="15" t="n">
        <v>43</v>
      </c>
      <c r="H26" s="15" t="n">
        <v>34</v>
      </c>
      <c r="I26" s="15" t="s">
        <v>35</v>
      </c>
      <c r="J26" s="17" t="n">
        <v>0.16</v>
      </c>
      <c r="K26" s="18" t="n">
        <v>-106</v>
      </c>
      <c r="L26" s="19" t="n">
        <f aca="false">K26/100</f>
        <v>-1.06</v>
      </c>
      <c r="M26" s="20" t="str">
        <f aca="false">IF(K26&gt;0,"WIN",IF(K26&lt;0,"LOSS","FLAT"))</f>
        <v>LOSS</v>
      </c>
      <c r="N26" s="19" t="n">
        <f aca="false">SUM($L$2:L26)</f>
        <v>-11.5</v>
      </c>
      <c r="P26" s="0" t="str">
        <f aca="false">IF(K26&gt;0,K26,"")</f>
        <v/>
      </c>
      <c r="Q26" s="21" t="n">
        <f aca="false">IF(K26&lt;0,K26,"")</f>
        <v>-106</v>
      </c>
    </row>
    <row r="27" customFormat="false" ht="15" hidden="false" customHeight="false" outlineLevel="0" collapsed="false">
      <c r="A27" s="22" t="n">
        <v>26</v>
      </c>
      <c r="B27" s="22" t="s">
        <v>30</v>
      </c>
      <c r="C27" s="22" t="s">
        <v>80</v>
      </c>
      <c r="D27" s="23" t="s">
        <v>67</v>
      </c>
      <c r="E27" s="22" t="s">
        <v>70</v>
      </c>
      <c r="F27" s="22" t="s">
        <v>34</v>
      </c>
      <c r="G27" s="22" t="n">
        <v>75</v>
      </c>
      <c r="H27" s="22" t="n">
        <v>67</v>
      </c>
      <c r="I27" s="22" t="s">
        <v>35</v>
      </c>
      <c r="J27" s="24" t="n">
        <v>0.16</v>
      </c>
      <c r="K27" s="25" t="n">
        <v>-96</v>
      </c>
      <c r="L27" s="26" t="n">
        <f aca="false">K27/100</f>
        <v>-0.96</v>
      </c>
      <c r="M27" s="27" t="str">
        <f aca="false">IF(K27&gt;0,"WIN",IF(K27&lt;0,"LOSS","FLAT"))</f>
        <v>LOSS</v>
      </c>
      <c r="N27" s="26" t="n">
        <f aca="false">SUM($L$2:L27)</f>
        <v>-12.46</v>
      </c>
      <c r="P27" s="0" t="str">
        <f aca="false">IF(K27&gt;0,K27,"")</f>
        <v/>
      </c>
      <c r="Q27" s="21" t="n">
        <f aca="false">IF(K27&lt;0,K27,"")</f>
        <v>-96</v>
      </c>
    </row>
    <row r="28" customFormat="false" ht="15" hidden="false" customHeight="false" outlineLevel="0" collapsed="false">
      <c r="A28" s="15" t="n">
        <v>27</v>
      </c>
      <c r="B28" s="15" t="s">
        <v>30</v>
      </c>
      <c r="C28" s="15" t="s">
        <v>81</v>
      </c>
      <c r="D28" s="16" t="s">
        <v>75</v>
      </c>
      <c r="E28" s="15" t="s">
        <v>82</v>
      </c>
      <c r="F28" s="15" t="s">
        <v>34</v>
      </c>
      <c r="G28" s="15" t="n">
        <v>77</v>
      </c>
      <c r="H28" s="15" t="n">
        <v>54</v>
      </c>
      <c r="I28" s="15" t="s">
        <v>41</v>
      </c>
      <c r="J28" s="17" t="n">
        <v>0</v>
      </c>
      <c r="K28" s="18" t="n">
        <v>-230</v>
      </c>
      <c r="L28" s="19" t="n">
        <f aca="false">K28/100</f>
        <v>-2.3</v>
      </c>
      <c r="M28" s="20" t="str">
        <f aca="false">IF(K28&gt;0,"WIN",IF(K28&lt;0,"LOSS","FLAT"))</f>
        <v>LOSS</v>
      </c>
      <c r="N28" s="19" t="n">
        <f aca="false">SUM($L$2:L28)</f>
        <v>-14.76</v>
      </c>
      <c r="P28" s="0" t="str">
        <f aca="false">IF(K28&gt;0,K28,"")</f>
        <v/>
      </c>
      <c r="Q28" s="21" t="n">
        <f aca="false">IF(K28&lt;0,K28,"")</f>
        <v>-230</v>
      </c>
    </row>
    <row r="29" customFormat="false" ht="15" hidden="false" customHeight="false" outlineLevel="0" collapsed="false">
      <c r="A29" s="22" t="n">
        <v>28</v>
      </c>
      <c r="B29" s="22" t="s">
        <v>30</v>
      </c>
      <c r="C29" s="22" t="s">
        <v>83</v>
      </c>
      <c r="D29" s="23" t="s">
        <v>43</v>
      </c>
      <c r="E29" s="22" t="s">
        <v>44</v>
      </c>
      <c r="F29" s="22" t="s">
        <v>34</v>
      </c>
      <c r="G29" s="22" t="n">
        <v>13</v>
      </c>
      <c r="H29" s="22" t="n">
        <v>7</v>
      </c>
      <c r="I29" s="22" t="s">
        <v>41</v>
      </c>
      <c r="J29" s="24" t="n">
        <v>0</v>
      </c>
      <c r="K29" s="25" t="n">
        <v>-60</v>
      </c>
      <c r="L29" s="26" t="n">
        <f aca="false">K29/100</f>
        <v>-0.6</v>
      </c>
      <c r="M29" s="27" t="str">
        <f aca="false">IF(K29&gt;0,"WIN",IF(K29&lt;0,"LOSS","FLAT"))</f>
        <v>LOSS</v>
      </c>
      <c r="N29" s="26" t="n">
        <f aca="false">SUM($L$2:L29)</f>
        <v>-15.36</v>
      </c>
      <c r="P29" s="0" t="str">
        <f aca="false">IF(K29&gt;0,K29,"")</f>
        <v/>
      </c>
      <c r="Q29" s="21" t="n">
        <f aca="false">IF(K29&lt;0,K29,"")</f>
        <v>-60</v>
      </c>
    </row>
    <row r="30" customFormat="false" ht="15" hidden="false" customHeight="false" outlineLevel="0" collapsed="false">
      <c r="A30" s="15" t="n">
        <v>29</v>
      </c>
      <c r="B30" s="15" t="s">
        <v>30</v>
      </c>
      <c r="C30" s="15" t="s">
        <v>84</v>
      </c>
      <c r="D30" s="16" t="s">
        <v>45</v>
      </c>
      <c r="E30" s="15" t="s">
        <v>46</v>
      </c>
      <c r="F30" s="15" t="s">
        <v>34</v>
      </c>
      <c r="G30" s="15" t="n">
        <v>71</v>
      </c>
      <c r="H30" s="15" t="n">
        <v>60</v>
      </c>
      <c r="I30" s="15" t="s">
        <v>35</v>
      </c>
      <c r="J30" s="17" t="n">
        <v>0.17</v>
      </c>
      <c r="K30" s="18" t="n">
        <v>-127</v>
      </c>
      <c r="L30" s="19" t="n">
        <f aca="false">K30/100</f>
        <v>-1.27</v>
      </c>
      <c r="M30" s="20" t="str">
        <f aca="false">IF(K30&gt;0,"WIN",IF(K30&lt;0,"LOSS","FLAT"))</f>
        <v>LOSS</v>
      </c>
      <c r="N30" s="19" t="n">
        <f aca="false">SUM($L$2:L30)</f>
        <v>-16.63</v>
      </c>
      <c r="P30" s="0" t="str">
        <f aca="false">IF(K30&gt;0,K30,"")</f>
        <v/>
      </c>
      <c r="Q30" s="21" t="n">
        <f aca="false">IF(K30&lt;0,K30,"")</f>
        <v>-127</v>
      </c>
    </row>
    <row r="31" customFormat="false" ht="15" hidden="false" customHeight="false" outlineLevel="0" collapsed="false">
      <c r="A31" s="22" t="n">
        <v>30</v>
      </c>
      <c r="B31" s="22" t="s">
        <v>30</v>
      </c>
      <c r="C31" s="22" t="s">
        <v>85</v>
      </c>
      <c r="D31" s="23" t="s">
        <v>86</v>
      </c>
      <c r="E31" s="22" t="s">
        <v>87</v>
      </c>
      <c r="F31" s="22" t="s">
        <v>34</v>
      </c>
      <c r="G31" s="22" t="n">
        <v>42</v>
      </c>
      <c r="H31" s="22" t="n">
        <v>52</v>
      </c>
      <c r="I31" s="22" t="s">
        <v>41</v>
      </c>
      <c r="J31" s="24" t="n">
        <v>0</v>
      </c>
      <c r="K31" s="25" t="n">
        <v>100</v>
      </c>
      <c r="L31" s="26" t="n">
        <f aca="false">K31/100</f>
        <v>1</v>
      </c>
      <c r="M31" s="27" t="str">
        <f aca="false">IF(K31&gt;0,"WIN",IF(K31&lt;0,"LOSS","FLAT"))</f>
        <v>WIN</v>
      </c>
      <c r="N31" s="26" t="n">
        <f aca="false">SUM($L$2:L31)</f>
        <v>-15.63</v>
      </c>
      <c r="P31" s="21" t="n">
        <f aca="false">IF(K31&gt;0,K31,"")</f>
        <v>100</v>
      </c>
      <c r="Q31" s="0" t="str">
        <f aca="false">IF(K31&lt;0,K31,"")</f>
        <v/>
      </c>
    </row>
    <row r="32" customFormat="false" ht="15" hidden="false" customHeight="false" outlineLevel="0" collapsed="false">
      <c r="A32" s="15" t="n">
        <v>31</v>
      </c>
      <c r="B32" s="15" t="s">
        <v>30</v>
      </c>
      <c r="C32" s="15" t="s">
        <v>88</v>
      </c>
      <c r="D32" s="16" t="s">
        <v>45</v>
      </c>
      <c r="E32" s="15" t="s">
        <v>53</v>
      </c>
      <c r="F32" s="15" t="s">
        <v>34</v>
      </c>
      <c r="G32" s="15" t="n">
        <v>39</v>
      </c>
      <c r="H32" s="15" t="n">
        <v>26</v>
      </c>
      <c r="I32" s="15" t="s">
        <v>35</v>
      </c>
      <c r="J32" s="17" t="n">
        <v>0.14</v>
      </c>
      <c r="K32" s="18" t="n">
        <v>-144</v>
      </c>
      <c r="L32" s="19" t="n">
        <f aca="false">K32/100</f>
        <v>-1.44</v>
      </c>
      <c r="M32" s="20" t="str">
        <f aca="false">IF(K32&gt;0,"WIN",IF(K32&lt;0,"LOSS","FLAT"))</f>
        <v>LOSS</v>
      </c>
      <c r="N32" s="19" t="n">
        <f aca="false">SUM($L$2:L32)</f>
        <v>-17.07</v>
      </c>
      <c r="P32" s="0" t="str">
        <f aca="false">IF(K32&gt;0,K32,"")</f>
        <v/>
      </c>
      <c r="Q32" s="21" t="n">
        <f aca="false">IF(K32&lt;0,K32,"")</f>
        <v>-144</v>
      </c>
    </row>
    <row r="33" customFormat="false" ht="15" hidden="false" customHeight="false" outlineLevel="0" collapsed="false">
      <c r="A33" s="22" t="n">
        <v>32</v>
      </c>
      <c r="B33" s="22" t="s">
        <v>30</v>
      </c>
      <c r="C33" s="22" t="s">
        <v>89</v>
      </c>
      <c r="D33" s="23" t="s">
        <v>45</v>
      </c>
      <c r="E33" s="22" t="s">
        <v>53</v>
      </c>
      <c r="F33" s="22" t="s">
        <v>34</v>
      </c>
      <c r="G33" s="22" t="n">
        <v>57</v>
      </c>
      <c r="H33" s="22" t="n">
        <v>27</v>
      </c>
      <c r="I33" s="22" t="s">
        <v>41</v>
      </c>
      <c r="J33" s="24" t="n">
        <v>0</v>
      </c>
      <c r="K33" s="25" t="n">
        <v>-300</v>
      </c>
      <c r="L33" s="26" t="n">
        <f aca="false">K33/100</f>
        <v>-3</v>
      </c>
      <c r="M33" s="27" t="str">
        <f aca="false">IF(K33&gt;0,"WIN",IF(K33&lt;0,"LOSS","FLAT"))</f>
        <v>LOSS</v>
      </c>
      <c r="N33" s="26" t="n">
        <f aca="false">SUM($L$2:L33)</f>
        <v>-20.07</v>
      </c>
      <c r="P33" s="0" t="str">
        <f aca="false">IF(K33&gt;0,K33,"")</f>
        <v/>
      </c>
      <c r="Q33" s="21" t="n">
        <f aca="false">IF(K33&lt;0,K33,"")</f>
        <v>-300</v>
      </c>
    </row>
    <row r="34" customFormat="false" ht="15" hidden="false" customHeight="false" outlineLevel="0" collapsed="false">
      <c r="A34" s="15" t="n">
        <v>33</v>
      </c>
      <c r="B34" s="15" t="s">
        <v>30</v>
      </c>
      <c r="C34" s="15" t="s">
        <v>90</v>
      </c>
      <c r="D34" s="16" t="s">
        <v>86</v>
      </c>
      <c r="E34" s="15" t="s">
        <v>87</v>
      </c>
      <c r="F34" s="15" t="s">
        <v>34</v>
      </c>
      <c r="G34" s="15" t="n">
        <v>54</v>
      </c>
      <c r="H34" s="15" t="n">
        <v>42</v>
      </c>
      <c r="I34" s="15" t="s">
        <v>41</v>
      </c>
      <c r="J34" s="17" t="n">
        <v>0</v>
      </c>
      <c r="K34" s="18" t="n">
        <v>-120</v>
      </c>
      <c r="L34" s="19" t="n">
        <f aca="false">K34/100</f>
        <v>-1.2</v>
      </c>
      <c r="M34" s="20" t="str">
        <f aca="false">IF(K34&gt;0,"WIN",IF(K34&lt;0,"LOSS","FLAT"))</f>
        <v>LOSS</v>
      </c>
      <c r="N34" s="19" t="n">
        <f aca="false">SUM($L$2:L34)</f>
        <v>-21.27</v>
      </c>
      <c r="P34" s="0" t="str">
        <f aca="false">IF(K34&gt;0,K34,"")</f>
        <v/>
      </c>
      <c r="Q34" s="21" t="n">
        <f aca="false">IF(K34&lt;0,K34,"")</f>
        <v>-120</v>
      </c>
    </row>
    <row r="35" customFormat="false" ht="15" hidden="false" customHeight="false" outlineLevel="0" collapsed="false">
      <c r="A35" s="22" t="n">
        <v>34</v>
      </c>
      <c r="B35" s="22" t="s">
        <v>30</v>
      </c>
      <c r="C35" s="22" t="s">
        <v>91</v>
      </c>
      <c r="D35" s="23" t="s">
        <v>67</v>
      </c>
      <c r="E35" s="22" t="s">
        <v>70</v>
      </c>
      <c r="F35" s="22" t="s">
        <v>34</v>
      </c>
      <c r="G35" s="22" t="n">
        <v>72</v>
      </c>
      <c r="H35" s="22" t="n">
        <v>66</v>
      </c>
      <c r="I35" s="22" t="s">
        <v>41</v>
      </c>
      <c r="J35" s="24" t="n">
        <v>0</v>
      </c>
      <c r="K35" s="25" t="n">
        <v>-60</v>
      </c>
      <c r="L35" s="26" t="n">
        <f aca="false">K35/100</f>
        <v>-0.6</v>
      </c>
      <c r="M35" s="27" t="str">
        <f aca="false">IF(K35&gt;0,"WIN",IF(K35&lt;0,"LOSS","FLAT"))</f>
        <v>LOSS</v>
      </c>
      <c r="N35" s="26" t="n">
        <f aca="false">SUM($L$2:L35)</f>
        <v>-21.87</v>
      </c>
      <c r="P35" s="0" t="str">
        <f aca="false">IF(K35&gt;0,K35,"")</f>
        <v/>
      </c>
      <c r="Q35" s="21" t="n">
        <f aca="false">IF(K35&lt;0,K35,"")</f>
        <v>-60</v>
      </c>
    </row>
    <row r="36" customFormat="false" ht="15" hidden="false" customHeight="false" outlineLevel="0" collapsed="false">
      <c r="A36" s="15" t="n">
        <v>35</v>
      </c>
      <c r="B36" s="15" t="s">
        <v>30</v>
      </c>
      <c r="C36" s="15" t="s">
        <v>91</v>
      </c>
      <c r="D36" s="16" t="s">
        <v>43</v>
      </c>
      <c r="E36" s="15" t="s">
        <v>44</v>
      </c>
      <c r="F36" s="15" t="s">
        <v>34</v>
      </c>
      <c r="G36" s="15" t="n">
        <v>11</v>
      </c>
      <c r="H36" s="15" t="n">
        <v>7</v>
      </c>
      <c r="I36" s="15" t="s">
        <v>41</v>
      </c>
      <c r="J36" s="17" t="n">
        <v>0</v>
      </c>
      <c r="K36" s="18" t="n">
        <v>-40</v>
      </c>
      <c r="L36" s="19" t="n">
        <f aca="false">K36/100</f>
        <v>-0.4</v>
      </c>
      <c r="M36" s="20" t="str">
        <f aca="false">IF(K36&gt;0,"WIN",IF(K36&lt;0,"LOSS","FLAT"))</f>
        <v>LOSS</v>
      </c>
      <c r="N36" s="19" t="n">
        <f aca="false">SUM($L$2:L36)</f>
        <v>-22.27</v>
      </c>
      <c r="P36" s="0" t="str">
        <f aca="false">IF(K36&gt;0,K36,"")</f>
        <v/>
      </c>
      <c r="Q36" s="21" t="n">
        <f aca="false">IF(K36&lt;0,K36,"")</f>
        <v>-40</v>
      </c>
    </row>
    <row r="37" customFormat="false" ht="15" hidden="false" customHeight="false" outlineLevel="0" collapsed="false">
      <c r="A37" s="22" t="n">
        <v>36</v>
      </c>
      <c r="B37" s="22" t="s">
        <v>30</v>
      </c>
      <c r="C37" s="22" t="s">
        <v>92</v>
      </c>
      <c r="D37" s="23" t="s">
        <v>55</v>
      </c>
      <c r="E37" s="22" t="s">
        <v>56</v>
      </c>
      <c r="F37" s="22" t="s">
        <v>34</v>
      </c>
      <c r="G37" s="22" t="n">
        <v>85</v>
      </c>
      <c r="H37" s="22" t="n">
        <v>98</v>
      </c>
      <c r="I37" s="22" t="s">
        <v>35</v>
      </c>
      <c r="J37" s="24" t="n">
        <v>0.02</v>
      </c>
      <c r="K37" s="25" t="n">
        <v>128</v>
      </c>
      <c r="L37" s="26" t="n">
        <f aca="false">K37/100</f>
        <v>1.28</v>
      </c>
      <c r="M37" s="27" t="str">
        <f aca="false">IF(K37&gt;0,"WIN",IF(K37&lt;0,"LOSS","FLAT"))</f>
        <v>WIN</v>
      </c>
      <c r="N37" s="26" t="n">
        <f aca="false">SUM($L$2:L37)</f>
        <v>-20.99</v>
      </c>
      <c r="P37" s="21" t="n">
        <f aca="false">IF(K37&gt;0,K37,"")</f>
        <v>128</v>
      </c>
      <c r="Q37" s="0" t="str">
        <f aca="false">IF(K37&lt;0,K37,"")</f>
        <v/>
      </c>
    </row>
    <row r="38" customFormat="false" ht="15" hidden="false" customHeight="false" outlineLevel="0" collapsed="false">
      <c r="A38" s="15" t="n">
        <v>37</v>
      </c>
      <c r="B38" s="15" t="s">
        <v>30</v>
      </c>
      <c r="C38" s="15" t="s">
        <v>93</v>
      </c>
      <c r="D38" s="16" t="s">
        <v>43</v>
      </c>
      <c r="E38" s="15" t="s">
        <v>44</v>
      </c>
      <c r="F38" s="15" t="s">
        <v>34</v>
      </c>
      <c r="G38" s="15" t="n">
        <v>20</v>
      </c>
      <c r="H38" s="15" t="n">
        <v>2</v>
      </c>
      <c r="I38" s="15" t="s">
        <v>35</v>
      </c>
      <c r="J38" s="17" t="n">
        <v>0.02</v>
      </c>
      <c r="K38" s="18" t="n">
        <v>-182</v>
      </c>
      <c r="L38" s="19" t="n">
        <f aca="false">K38/100</f>
        <v>-1.82</v>
      </c>
      <c r="M38" s="20" t="str">
        <f aca="false">IF(K38&gt;0,"WIN",IF(K38&lt;0,"LOSS","FLAT"))</f>
        <v>LOSS</v>
      </c>
      <c r="N38" s="19" t="n">
        <f aca="false">SUM($L$2:L38)</f>
        <v>-22.81</v>
      </c>
      <c r="P38" s="0" t="str">
        <f aca="false">IF(K38&gt;0,K38,"")</f>
        <v/>
      </c>
      <c r="Q38" s="21" t="n">
        <f aca="false">IF(K38&lt;0,K38,"")</f>
        <v>-182</v>
      </c>
    </row>
    <row r="39" customFormat="false" ht="15" hidden="false" customHeight="false" outlineLevel="0" collapsed="false">
      <c r="A39" s="22" t="n">
        <v>38</v>
      </c>
      <c r="B39" s="22" t="s">
        <v>30</v>
      </c>
      <c r="C39" s="22" t="s">
        <v>94</v>
      </c>
      <c r="D39" s="23" t="s">
        <v>86</v>
      </c>
      <c r="E39" s="22" t="s">
        <v>95</v>
      </c>
      <c r="F39" s="22" t="s">
        <v>34</v>
      </c>
      <c r="G39" s="22" t="n">
        <v>68</v>
      </c>
      <c r="H39" s="22" t="n">
        <v>64</v>
      </c>
      <c r="I39" s="22" t="s">
        <v>35</v>
      </c>
      <c r="J39" s="24" t="n">
        <v>0.17</v>
      </c>
      <c r="K39" s="25" t="n">
        <v>-57</v>
      </c>
      <c r="L39" s="26" t="n">
        <f aca="false">K39/100</f>
        <v>-0.57</v>
      </c>
      <c r="M39" s="27" t="str">
        <f aca="false">IF(K39&gt;0,"WIN",IF(K39&lt;0,"LOSS","FLAT"))</f>
        <v>LOSS</v>
      </c>
      <c r="N39" s="26" t="n">
        <f aca="false">SUM($L$2:L39)</f>
        <v>-23.38</v>
      </c>
      <c r="P39" s="0" t="str">
        <f aca="false">IF(K39&gt;0,K39,"")</f>
        <v/>
      </c>
      <c r="Q39" s="21" t="n">
        <f aca="false">IF(K39&lt;0,K39,"")</f>
        <v>-57</v>
      </c>
    </row>
    <row r="40" customFormat="false" ht="15" hidden="false" customHeight="false" outlineLevel="0" collapsed="false">
      <c r="A40" s="15" t="n">
        <v>39</v>
      </c>
      <c r="B40" s="15" t="s">
        <v>30</v>
      </c>
      <c r="C40" s="15" t="s">
        <v>96</v>
      </c>
      <c r="D40" s="16" t="s">
        <v>86</v>
      </c>
      <c r="E40" s="15" t="s">
        <v>95</v>
      </c>
      <c r="F40" s="15" t="s">
        <v>34</v>
      </c>
      <c r="G40" s="15" t="n">
        <v>69</v>
      </c>
      <c r="H40" s="15" t="n">
        <v>65</v>
      </c>
      <c r="I40" s="15" t="s">
        <v>41</v>
      </c>
      <c r="J40" s="17" t="n">
        <v>0</v>
      </c>
      <c r="K40" s="18" t="n">
        <v>-40</v>
      </c>
      <c r="L40" s="19" t="n">
        <f aca="false">K40/100</f>
        <v>-0.4</v>
      </c>
      <c r="M40" s="20" t="str">
        <f aca="false">IF(K40&gt;0,"WIN",IF(K40&lt;0,"LOSS","FLAT"))</f>
        <v>LOSS</v>
      </c>
      <c r="N40" s="19" t="n">
        <f aca="false">SUM($L$2:L40)</f>
        <v>-23.78</v>
      </c>
      <c r="P40" s="0" t="str">
        <f aca="false">IF(K40&gt;0,K40,"")</f>
        <v/>
      </c>
      <c r="Q40" s="21" t="n">
        <f aca="false">IF(K40&lt;0,K40,"")</f>
        <v>-40</v>
      </c>
    </row>
    <row r="41" customFormat="false" ht="15" hidden="false" customHeight="false" outlineLevel="0" collapsed="false">
      <c r="A41" s="22" t="n">
        <v>40</v>
      </c>
      <c r="B41" s="22" t="s">
        <v>30</v>
      </c>
      <c r="C41" s="22" t="s">
        <v>97</v>
      </c>
      <c r="D41" s="23" t="s">
        <v>75</v>
      </c>
      <c r="E41" s="22" t="s">
        <v>82</v>
      </c>
      <c r="F41" s="22" t="s">
        <v>34</v>
      </c>
      <c r="G41" s="22" t="n">
        <v>80</v>
      </c>
      <c r="H41" s="22" t="n">
        <v>54</v>
      </c>
      <c r="I41" s="22" t="s">
        <v>41</v>
      </c>
      <c r="J41" s="24" t="n">
        <v>0</v>
      </c>
      <c r="K41" s="25" t="n">
        <v>-260</v>
      </c>
      <c r="L41" s="26" t="n">
        <f aca="false">K41/100</f>
        <v>-2.6</v>
      </c>
      <c r="M41" s="27" t="str">
        <f aca="false">IF(K41&gt;0,"WIN",IF(K41&lt;0,"LOSS","FLAT"))</f>
        <v>LOSS</v>
      </c>
      <c r="N41" s="26" t="n">
        <f aca="false">SUM($L$2:L41)</f>
        <v>-26.38</v>
      </c>
      <c r="P41" s="0" t="str">
        <f aca="false">IF(K41&gt;0,K41,"")</f>
        <v/>
      </c>
      <c r="Q41" s="21" t="n">
        <f aca="false">IF(K41&lt;0,K41,"")</f>
        <v>-260</v>
      </c>
    </row>
    <row r="42" customFormat="false" ht="15" hidden="false" customHeight="false" outlineLevel="0" collapsed="false">
      <c r="A42" s="15" t="n">
        <v>41</v>
      </c>
      <c r="B42" s="15" t="s">
        <v>30</v>
      </c>
      <c r="C42" s="15" t="s">
        <v>98</v>
      </c>
      <c r="D42" s="16" t="s">
        <v>99</v>
      </c>
      <c r="E42" s="15" t="s">
        <v>100</v>
      </c>
      <c r="F42" s="15" t="s">
        <v>34</v>
      </c>
      <c r="G42" s="15" t="n">
        <v>42</v>
      </c>
      <c r="H42" s="15" t="n">
        <v>27</v>
      </c>
      <c r="I42" s="15" t="s">
        <v>41</v>
      </c>
      <c r="J42" s="17" t="n">
        <v>0</v>
      </c>
      <c r="K42" s="18" t="n">
        <v>-150</v>
      </c>
      <c r="L42" s="19" t="n">
        <f aca="false">K42/100</f>
        <v>-1.5</v>
      </c>
      <c r="M42" s="20" t="str">
        <f aca="false">IF(K42&gt;0,"WIN",IF(K42&lt;0,"LOSS","FLAT"))</f>
        <v>LOSS</v>
      </c>
      <c r="N42" s="19" t="n">
        <f aca="false">SUM($L$2:L42)</f>
        <v>-27.88</v>
      </c>
      <c r="P42" s="0" t="str">
        <f aca="false">IF(K42&gt;0,K42,"")</f>
        <v/>
      </c>
      <c r="Q42" s="21" t="n">
        <f aca="false">IF(K42&lt;0,K42,"")</f>
        <v>-150</v>
      </c>
    </row>
    <row r="43" customFormat="false" ht="15" hidden="false" customHeight="false" outlineLevel="0" collapsed="false">
      <c r="A43" s="22" t="n">
        <v>42</v>
      </c>
      <c r="B43" s="22" t="s">
        <v>30</v>
      </c>
      <c r="C43" s="22" t="s">
        <v>101</v>
      </c>
      <c r="D43" s="23" t="s">
        <v>86</v>
      </c>
      <c r="E43" s="22" t="s">
        <v>87</v>
      </c>
      <c r="F43" s="22" t="s">
        <v>34</v>
      </c>
      <c r="G43" s="22" t="n">
        <v>37</v>
      </c>
      <c r="H43" s="22" t="n">
        <v>30</v>
      </c>
      <c r="I43" s="22" t="s">
        <v>35</v>
      </c>
      <c r="J43" s="24" t="n">
        <v>0.15</v>
      </c>
      <c r="K43" s="25" t="n">
        <v>-85</v>
      </c>
      <c r="L43" s="26" t="n">
        <f aca="false">K43/100</f>
        <v>-0.85</v>
      </c>
      <c r="M43" s="27" t="str">
        <f aca="false">IF(K43&gt;0,"WIN",IF(K43&lt;0,"LOSS","FLAT"))</f>
        <v>LOSS</v>
      </c>
      <c r="N43" s="26" t="n">
        <f aca="false">SUM($L$2:L43)</f>
        <v>-28.73</v>
      </c>
      <c r="P43" s="0" t="str">
        <f aca="false">IF(K43&gt;0,K43,"")</f>
        <v/>
      </c>
      <c r="Q43" s="21" t="n">
        <f aca="false">IF(K43&lt;0,K43,"")</f>
        <v>-85</v>
      </c>
    </row>
    <row r="44" customFormat="false" ht="15" hidden="false" customHeight="false" outlineLevel="0" collapsed="false">
      <c r="A44" s="15" t="n">
        <v>43</v>
      </c>
      <c r="B44" s="15" t="s">
        <v>30</v>
      </c>
      <c r="C44" s="15" t="s">
        <v>102</v>
      </c>
      <c r="D44" s="16" t="s">
        <v>75</v>
      </c>
      <c r="E44" s="15" t="s">
        <v>76</v>
      </c>
      <c r="F44" s="15" t="s">
        <v>34</v>
      </c>
      <c r="G44" s="15" t="n">
        <v>26</v>
      </c>
      <c r="H44" s="15" t="n">
        <v>27</v>
      </c>
      <c r="I44" s="15" t="s">
        <v>41</v>
      </c>
      <c r="J44" s="17" t="n">
        <v>0</v>
      </c>
      <c r="K44" s="18" t="n">
        <v>10</v>
      </c>
      <c r="L44" s="19" t="n">
        <f aca="false">K44/100</f>
        <v>0.1</v>
      </c>
      <c r="M44" s="20" t="str">
        <f aca="false">IF(K44&gt;0,"WIN",IF(K44&lt;0,"LOSS","FLAT"))</f>
        <v>WIN</v>
      </c>
      <c r="N44" s="19" t="n">
        <f aca="false">SUM($L$2:L44)</f>
        <v>-28.63</v>
      </c>
      <c r="P44" s="21" t="n">
        <f aca="false">IF(K44&gt;0,K44,"")</f>
        <v>10</v>
      </c>
      <c r="Q44" s="0" t="str">
        <f aca="false">IF(K44&lt;0,K44,"")</f>
        <v/>
      </c>
    </row>
    <row r="45" customFormat="false" ht="15" hidden="false" customHeight="false" outlineLevel="0" collapsed="false">
      <c r="A45" s="22" t="n">
        <v>44</v>
      </c>
      <c r="B45" s="22" t="s">
        <v>30</v>
      </c>
      <c r="C45" s="22" t="s">
        <v>103</v>
      </c>
      <c r="D45" s="23" t="s">
        <v>75</v>
      </c>
      <c r="E45" s="22" t="s">
        <v>76</v>
      </c>
      <c r="F45" s="22" t="s">
        <v>34</v>
      </c>
      <c r="G45" s="22" t="n">
        <v>27</v>
      </c>
      <c r="H45" s="22" t="n">
        <v>28</v>
      </c>
      <c r="I45" s="22" t="s">
        <v>41</v>
      </c>
      <c r="J45" s="24" t="n">
        <v>0</v>
      </c>
      <c r="K45" s="25" t="n">
        <v>10</v>
      </c>
      <c r="L45" s="26" t="n">
        <f aca="false">K45/100</f>
        <v>0.1</v>
      </c>
      <c r="M45" s="27" t="str">
        <f aca="false">IF(K45&gt;0,"WIN",IF(K45&lt;0,"LOSS","FLAT"))</f>
        <v>WIN</v>
      </c>
      <c r="N45" s="26" t="n">
        <f aca="false">SUM($L$2:L45)</f>
        <v>-28.53</v>
      </c>
      <c r="P45" s="21" t="n">
        <f aca="false">IF(K45&gt;0,K45,"")</f>
        <v>10</v>
      </c>
      <c r="Q45" s="0" t="str">
        <f aca="false">IF(K45&lt;0,K45,"")</f>
        <v/>
      </c>
    </row>
    <row r="46" customFormat="false" ht="15" hidden="false" customHeight="false" outlineLevel="0" collapsed="false">
      <c r="A46" s="15" t="n">
        <v>45</v>
      </c>
      <c r="B46" s="15" t="s">
        <v>30</v>
      </c>
      <c r="C46" s="15" t="s">
        <v>104</v>
      </c>
      <c r="D46" s="16" t="s">
        <v>99</v>
      </c>
      <c r="E46" s="15" t="s">
        <v>105</v>
      </c>
      <c r="F46" s="15" t="s">
        <v>34</v>
      </c>
      <c r="G46" s="15" t="n">
        <v>70</v>
      </c>
      <c r="H46" s="15" t="n">
        <v>69</v>
      </c>
      <c r="I46" s="15" t="s">
        <v>35</v>
      </c>
      <c r="J46" s="17" t="n">
        <v>0.15</v>
      </c>
      <c r="K46" s="18" t="n">
        <v>-25</v>
      </c>
      <c r="L46" s="19" t="n">
        <f aca="false">K46/100</f>
        <v>-0.25</v>
      </c>
      <c r="M46" s="20" t="str">
        <f aca="false">IF(K46&gt;0,"WIN",IF(K46&lt;0,"LOSS","FLAT"))</f>
        <v>LOSS</v>
      </c>
      <c r="N46" s="19" t="n">
        <f aca="false">SUM($L$2:L46)</f>
        <v>-28.78</v>
      </c>
      <c r="P46" s="0" t="str">
        <f aca="false">IF(K46&gt;0,K46,"")</f>
        <v/>
      </c>
      <c r="Q46" s="21" t="n">
        <f aca="false">IF(K46&lt;0,K46,"")</f>
        <v>-25</v>
      </c>
    </row>
    <row r="47" customFormat="false" ht="15" hidden="false" customHeight="false" outlineLevel="0" collapsed="false">
      <c r="A47" s="22" t="n">
        <v>46</v>
      </c>
      <c r="B47" s="22" t="s">
        <v>30</v>
      </c>
      <c r="C47" s="22" t="s">
        <v>106</v>
      </c>
      <c r="D47" s="23" t="s">
        <v>86</v>
      </c>
      <c r="E47" s="22" t="s">
        <v>95</v>
      </c>
      <c r="F47" s="22" t="s">
        <v>34</v>
      </c>
      <c r="G47" s="22" t="n">
        <v>67</v>
      </c>
      <c r="H47" s="22" t="n">
        <v>65</v>
      </c>
      <c r="I47" s="22" t="s">
        <v>35</v>
      </c>
      <c r="J47" s="24" t="n">
        <v>0.16</v>
      </c>
      <c r="K47" s="25" t="n">
        <v>-36</v>
      </c>
      <c r="L47" s="26" t="n">
        <f aca="false">K47/100</f>
        <v>-0.36</v>
      </c>
      <c r="M47" s="27" t="str">
        <f aca="false">IF(K47&gt;0,"WIN",IF(K47&lt;0,"LOSS","FLAT"))</f>
        <v>LOSS</v>
      </c>
      <c r="N47" s="26" t="n">
        <f aca="false">SUM($L$2:L47)</f>
        <v>-29.14</v>
      </c>
      <c r="P47" s="0" t="str">
        <f aca="false">IF(K47&gt;0,K47,"")</f>
        <v/>
      </c>
      <c r="Q47" s="21" t="n">
        <f aca="false">IF(K47&lt;0,K47,"")</f>
        <v>-36</v>
      </c>
    </row>
    <row r="48" customFormat="false" ht="15" hidden="false" customHeight="false" outlineLevel="0" collapsed="false">
      <c r="A48" s="15" t="n">
        <v>47</v>
      </c>
      <c r="B48" s="15" t="s">
        <v>30</v>
      </c>
      <c r="C48" s="15" t="s">
        <v>107</v>
      </c>
      <c r="D48" s="16" t="s">
        <v>67</v>
      </c>
      <c r="E48" s="15" t="s">
        <v>70</v>
      </c>
      <c r="F48" s="15" t="s">
        <v>34</v>
      </c>
      <c r="G48" s="15" t="n">
        <v>39</v>
      </c>
      <c r="H48" s="15" t="n">
        <v>37</v>
      </c>
      <c r="I48" s="15" t="s">
        <v>35</v>
      </c>
      <c r="J48" s="17" t="n">
        <v>0.17</v>
      </c>
      <c r="K48" s="18" t="n">
        <v>-37</v>
      </c>
      <c r="L48" s="19" t="n">
        <f aca="false">K48/100</f>
        <v>-0.37</v>
      </c>
      <c r="M48" s="20" t="str">
        <f aca="false">IF(K48&gt;0,"WIN",IF(K48&lt;0,"LOSS","FLAT"))</f>
        <v>LOSS</v>
      </c>
      <c r="N48" s="19" t="n">
        <f aca="false">SUM($L$2:L48)</f>
        <v>-29.51</v>
      </c>
      <c r="P48" s="0" t="str">
        <f aca="false">IF(K48&gt;0,K48,"")</f>
        <v/>
      </c>
      <c r="Q48" s="21" t="n">
        <f aca="false">IF(K48&lt;0,K48,"")</f>
        <v>-37</v>
      </c>
    </row>
    <row r="49" customFormat="false" ht="15" hidden="false" customHeight="false" outlineLevel="0" collapsed="false">
      <c r="A49" s="22" t="n">
        <v>48</v>
      </c>
      <c r="B49" s="22" t="s">
        <v>30</v>
      </c>
      <c r="C49" s="22" t="s">
        <v>107</v>
      </c>
      <c r="D49" s="23" t="s">
        <v>75</v>
      </c>
      <c r="E49" s="22" t="s">
        <v>76</v>
      </c>
      <c r="F49" s="22" t="s">
        <v>34</v>
      </c>
      <c r="G49" s="22" t="n">
        <v>53</v>
      </c>
      <c r="H49" s="22" t="n">
        <v>50</v>
      </c>
      <c r="I49" s="22" t="s">
        <v>35</v>
      </c>
      <c r="J49" s="24" t="n">
        <v>0.18</v>
      </c>
      <c r="K49" s="25" t="n">
        <v>-48</v>
      </c>
      <c r="L49" s="26" t="n">
        <f aca="false">K49/100</f>
        <v>-0.48</v>
      </c>
      <c r="M49" s="27" t="str">
        <f aca="false">IF(K49&gt;0,"WIN",IF(K49&lt;0,"LOSS","FLAT"))</f>
        <v>LOSS</v>
      </c>
      <c r="N49" s="26" t="n">
        <f aca="false">SUM($L$2:L49)</f>
        <v>-29.99</v>
      </c>
      <c r="P49" s="0" t="str">
        <f aca="false">IF(K49&gt;0,K49,"")</f>
        <v/>
      </c>
      <c r="Q49" s="21" t="n">
        <f aca="false">IF(K49&lt;0,K49,"")</f>
        <v>-48</v>
      </c>
    </row>
    <row r="50" customFormat="false" ht="15" hidden="false" customHeight="false" outlineLevel="0" collapsed="false">
      <c r="A50" s="15" t="n">
        <v>49</v>
      </c>
      <c r="B50" s="15" t="s">
        <v>30</v>
      </c>
      <c r="C50" s="15" t="s">
        <v>108</v>
      </c>
      <c r="D50" s="16" t="s">
        <v>75</v>
      </c>
      <c r="E50" s="15" t="s">
        <v>82</v>
      </c>
      <c r="F50" s="15" t="s">
        <v>34</v>
      </c>
      <c r="G50" s="15" t="n">
        <v>49</v>
      </c>
      <c r="H50" s="15" t="n">
        <v>14</v>
      </c>
      <c r="I50" s="15" t="s">
        <v>35</v>
      </c>
      <c r="J50" s="17" t="n">
        <v>0.09</v>
      </c>
      <c r="K50" s="18" t="n">
        <v>-359</v>
      </c>
      <c r="L50" s="19" t="n">
        <f aca="false">K50/100</f>
        <v>-3.59</v>
      </c>
      <c r="M50" s="20" t="str">
        <f aca="false">IF(K50&gt;0,"WIN",IF(K50&lt;0,"LOSS","FLAT"))</f>
        <v>LOSS</v>
      </c>
      <c r="N50" s="19" t="n">
        <f aca="false">SUM($L$2:L50)</f>
        <v>-33.58</v>
      </c>
      <c r="P50" s="0" t="str">
        <f aca="false">IF(K50&gt;0,K50,"")</f>
        <v/>
      </c>
      <c r="Q50" s="21" t="n">
        <f aca="false">IF(K50&lt;0,K50,"")</f>
        <v>-359</v>
      </c>
    </row>
    <row r="51" customFormat="false" ht="15" hidden="false" customHeight="false" outlineLevel="0" collapsed="false">
      <c r="A51" s="22" t="n">
        <v>50</v>
      </c>
      <c r="B51" s="22" t="s">
        <v>30</v>
      </c>
      <c r="C51" s="22" t="s">
        <v>109</v>
      </c>
      <c r="D51" s="23" t="s">
        <v>67</v>
      </c>
      <c r="E51" s="22" t="s">
        <v>68</v>
      </c>
      <c r="F51" s="22" t="s">
        <v>34</v>
      </c>
      <c r="G51" s="22" t="n">
        <v>85</v>
      </c>
      <c r="H51" s="22" t="n">
        <v>84</v>
      </c>
      <c r="I51" s="22" t="s">
        <v>35</v>
      </c>
      <c r="J51" s="24" t="n">
        <v>0.1</v>
      </c>
      <c r="K51" s="25" t="n">
        <v>-20</v>
      </c>
      <c r="L51" s="26" t="n">
        <f aca="false">K51/100</f>
        <v>-0.2</v>
      </c>
      <c r="M51" s="27" t="str">
        <f aca="false">IF(K51&gt;0,"WIN",IF(K51&lt;0,"LOSS","FLAT"))</f>
        <v>LOSS</v>
      </c>
      <c r="N51" s="26" t="n">
        <f aca="false">SUM($L$2:L51)</f>
        <v>-33.78</v>
      </c>
      <c r="P51" s="0" t="str">
        <f aca="false">IF(K51&gt;0,K51,"")</f>
        <v/>
      </c>
      <c r="Q51" s="21" t="n">
        <f aca="false">IF(K51&lt;0,K51,"")</f>
        <v>-20</v>
      </c>
    </row>
    <row r="52" customFormat="false" ht="15" hidden="false" customHeight="false" outlineLevel="0" collapsed="false">
      <c r="A52" s="15" t="n">
        <v>51</v>
      </c>
      <c r="B52" s="15" t="s">
        <v>30</v>
      </c>
      <c r="C52" s="15" t="s">
        <v>109</v>
      </c>
      <c r="D52" s="16" t="s">
        <v>86</v>
      </c>
      <c r="E52" s="15" t="s">
        <v>95</v>
      </c>
      <c r="F52" s="15" t="s">
        <v>34</v>
      </c>
      <c r="G52" s="15" t="n">
        <v>40</v>
      </c>
      <c r="H52" s="15" t="n">
        <v>35</v>
      </c>
      <c r="I52" s="15" t="s">
        <v>35</v>
      </c>
      <c r="J52" s="17" t="n">
        <v>0.16</v>
      </c>
      <c r="K52" s="18" t="n">
        <v>-66</v>
      </c>
      <c r="L52" s="19" t="n">
        <f aca="false">K52/100</f>
        <v>-0.66</v>
      </c>
      <c r="M52" s="20" t="str">
        <f aca="false">IF(K52&gt;0,"WIN",IF(K52&lt;0,"LOSS","FLAT"))</f>
        <v>LOSS</v>
      </c>
      <c r="N52" s="19" t="n">
        <f aca="false">SUM($L$2:L52)</f>
        <v>-34.44</v>
      </c>
      <c r="P52" s="0" t="str">
        <f aca="false">IF(K52&gt;0,K52,"")</f>
        <v/>
      </c>
      <c r="Q52" s="21" t="n">
        <f aca="false">IF(K52&lt;0,K52,"")</f>
        <v>-66</v>
      </c>
    </row>
    <row r="53" customFormat="false" ht="15" hidden="false" customHeight="false" outlineLevel="0" collapsed="false">
      <c r="A53" s="22" t="n">
        <v>52</v>
      </c>
      <c r="B53" s="22" t="s">
        <v>30</v>
      </c>
      <c r="C53" s="22" t="s">
        <v>110</v>
      </c>
      <c r="D53" s="23" t="s">
        <v>99</v>
      </c>
      <c r="E53" s="22" t="s">
        <v>105</v>
      </c>
      <c r="F53" s="22" t="s">
        <v>34</v>
      </c>
      <c r="G53" s="22" t="n">
        <v>72</v>
      </c>
      <c r="H53" s="22" t="n">
        <v>57</v>
      </c>
      <c r="I53" s="22" t="s">
        <v>35</v>
      </c>
      <c r="J53" s="24" t="n">
        <v>0.18</v>
      </c>
      <c r="K53" s="25" t="n">
        <v>-168</v>
      </c>
      <c r="L53" s="26" t="n">
        <f aca="false">K53/100</f>
        <v>-1.68</v>
      </c>
      <c r="M53" s="27" t="str">
        <f aca="false">IF(K53&gt;0,"WIN",IF(K53&lt;0,"LOSS","FLAT"))</f>
        <v>LOSS</v>
      </c>
      <c r="N53" s="26" t="n">
        <f aca="false">SUM($L$2:L53)</f>
        <v>-36.12</v>
      </c>
      <c r="P53" s="0" t="str">
        <f aca="false">IF(K53&gt;0,K53,"")</f>
        <v/>
      </c>
      <c r="Q53" s="21" t="n">
        <f aca="false">IF(K53&lt;0,K53,"")</f>
        <v>-168</v>
      </c>
    </row>
    <row r="54" customFormat="false" ht="15" hidden="false" customHeight="false" outlineLevel="0" collapsed="false">
      <c r="A54" s="15" t="n">
        <v>53</v>
      </c>
      <c r="B54" s="15" t="s">
        <v>111</v>
      </c>
      <c r="C54" s="15" t="s">
        <v>112</v>
      </c>
      <c r="D54" s="16" t="s">
        <v>99</v>
      </c>
      <c r="E54" s="15" t="s">
        <v>105</v>
      </c>
      <c r="F54" s="15" t="s">
        <v>34</v>
      </c>
      <c r="G54" s="15" t="n">
        <v>65</v>
      </c>
      <c r="H54" s="15" t="n">
        <v>52</v>
      </c>
      <c r="I54" s="15" t="s">
        <v>41</v>
      </c>
      <c r="J54" s="17" t="n">
        <v>0</v>
      </c>
      <c r="K54" s="18" t="n">
        <v>-130</v>
      </c>
      <c r="L54" s="19" t="n">
        <f aca="false">K54/100</f>
        <v>-1.3</v>
      </c>
      <c r="M54" s="20" t="str">
        <f aca="false">IF(K54&gt;0,"WIN",IF(K54&lt;0,"LOSS","FLAT"))</f>
        <v>LOSS</v>
      </c>
      <c r="N54" s="19" t="n">
        <f aca="false">SUM($L$2:L54)</f>
        <v>-37.42</v>
      </c>
      <c r="P54" s="0" t="str">
        <f aca="false">IF(K54&gt;0,K54,"")</f>
        <v/>
      </c>
      <c r="Q54" s="21" t="n">
        <f aca="false">IF(K54&lt;0,K54,"")</f>
        <v>-130</v>
      </c>
    </row>
    <row r="55" customFormat="false" ht="15" hidden="false" customHeight="false" outlineLevel="0" collapsed="false">
      <c r="A55" s="22" t="n">
        <v>54</v>
      </c>
      <c r="B55" s="22" t="s">
        <v>111</v>
      </c>
      <c r="C55" s="22" t="s">
        <v>113</v>
      </c>
      <c r="D55" s="23" t="s">
        <v>99</v>
      </c>
      <c r="E55" s="22" t="s">
        <v>100</v>
      </c>
      <c r="F55" s="22" t="s">
        <v>34</v>
      </c>
      <c r="G55" s="22" t="n">
        <v>43</v>
      </c>
      <c r="H55" s="22" t="n">
        <v>38</v>
      </c>
      <c r="I55" s="22" t="s">
        <v>41</v>
      </c>
      <c r="J55" s="24" t="n">
        <v>0</v>
      </c>
      <c r="K55" s="25" t="n">
        <v>-50</v>
      </c>
      <c r="L55" s="26" t="n">
        <f aca="false">K55/100</f>
        <v>-0.5</v>
      </c>
      <c r="M55" s="27" t="str">
        <f aca="false">IF(K55&gt;0,"WIN",IF(K55&lt;0,"LOSS","FLAT"))</f>
        <v>LOSS</v>
      </c>
      <c r="N55" s="26" t="n">
        <f aca="false">SUM($L$2:L55)</f>
        <v>-37.92</v>
      </c>
      <c r="P55" s="0" t="str">
        <f aca="false">IF(K55&gt;0,K55,"")</f>
        <v/>
      </c>
      <c r="Q55" s="21" t="n">
        <f aca="false">IF(K55&lt;0,K55,"")</f>
        <v>-50</v>
      </c>
    </row>
    <row r="56" customFormat="false" ht="15" hidden="false" customHeight="false" outlineLevel="0" collapsed="false">
      <c r="A56" s="15" t="n">
        <v>55</v>
      </c>
      <c r="B56" s="15" t="s">
        <v>111</v>
      </c>
      <c r="C56" s="15" t="s">
        <v>114</v>
      </c>
      <c r="D56" s="16" t="s">
        <v>115</v>
      </c>
      <c r="E56" s="15" t="s">
        <v>116</v>
      </c>
      <c r="F56" s="15" t="s">
        <v>34</v>
      </c>
      <c r="G56" s="15" t="n">
        <v>31</v>
      </c>
      <c r="H56" s="15" t="n">
        <v>51</v>
      </c>
      <c r="I56" s="15" t="s">
        <v>41</v>
      </c>
      <c r="J56" s="17" t="n">
        <v>0</v>
      </c>
      <c r="K56" s="18" t="n">
        <v>200</v>
      </c>
      <c r="L56" s="19" t="n">
        <f aca="false">K56/100</f>
        <v>2</v>
      </c>
      <c r="M56" s="20" t="str">
        <f aca="false">IF(K56&gt;0,"WIN",IF(K56&lt;0,"LOSS","FLAT"))</f>
        <v>WIN</v>
      </c>
      <c r="N56" s="19" t="n">
        <f aca="false">SUM($L$2:L56)</f>
        <v>-35.92</v>
      </c>
      <c r="P56" s="21" t="n">
        <f aca="false">IF(K56&gt;0,K56,"")</f>
        <v>200</v>
      </c>
      <c r="Q56" s="0" t="str">
        <f aca="false">IF(K56&lt;0,K56,"")</f>
        <v/>
      </c>
    </row>
    <row r="57" customFormat="false" ht="15" hidden="false" customHeight="false" outlineLevel="0" collapsed="false">
      <c r="A57" s="22" t="n">
        <v>56</v>
      </c>
      <c r="B57" s="22" t="s">
        <v>111</v>
      </c>
      <c r="C57" s="22" t="s">
        <v>117</v>
      </c>
      <c r="D57" s="23" t="s">
        <v>115</v>
      </c>
      <c r="E57" s="22" t="s">
        <v>116</v>
      </c>
      <c r="F57" s="22" t="s">
        <v>34</v>
      </c>
      <c r="G57" s="22" t="n">
        <v>37</v>
      </c>
      <c r="H57" s="22" t="n">
        <v>45</v>
      </c>
      <c r="I57" s="22" t="s">
        <v>35</v>
      </c>
      <c r="J57" s="24" t="n">
        <v>0.18</v>
      </c>
      <c r="K57" s="25" t="n">
        <v>62</v>
      </c>
      <c r="L57" s="26" t="n">
        <f aca="false">K57/100</f>
        <v>0.62</v>
      </c>
      <c r="M57" s="27" t="str">
        <f aca="false">IF(K57&gt;0,"WIN",IF(K57&lt;0,"LOSS","FLAT"))</f>
        <v>WIN</v>
      </c>
      <c r="N57" s="26" t="n">
        <f aca="false">SUM($L$2:L57)</f>
        <v>-35.3</v>
      </c>
      <c r="P57" s="21" t="n">
        <f aca="false">IF(K57&gt;0,K57,"")</f>
        <v>62</v>
      </c>
      <c r="Q57" s="0" t="str">
        <f aca="false">IF(K57&lt;0,K57,"")</f>
        <v/>
      </c>
    </row>
    <row r="58" customFormat="false" ht="15" hidden="false" customHeight="false" outlineLevel="0" collapsed="false">
      <c r="A58" s="15" t="n">
        <v>57</v>
      </c>
      <c r="B58" s="15" t="s">
        <v>111</v>
      </c>
      <c r="C58" s="15" t="s">
        <v>118</v>
      </c>
      <c r="D58" s="16" t="s">
        <v>99</v>
      </c>
      <c r="E58" s="15" t="s">
        <v>105</v>
      </c>
      <c r="F58" s="15" t="s">
        <v>34</v>
      </c>
      <c r="G58" s="15" t="n">
        <v>82</v>
      </c>
      <c r="H58" s="15" t="n">
        <v>80</v>
      </c>
      <c r="I58" s="15" t="s">
        <v>41</v>
      </c>
      <c r="J58" s="17" t="n">
        <v>0</v>
      </c>
      <c r="K58" s="18" t="n">
        <v>-20</v>
      </c>
      <c r="L58" s="19" t="n">
        <f aca="false">K58/100</f>
        <v>-0.2</v>
      </c>
      <c r="M58" s="20" t="str">
        <f aca="false">IF(K58&gt;0,"WIN",IF(K58&lt;0,"LOSS","FLAT"))</f>
        <v>LOSS</v>
      </c>
      <c r="N58" s="19" t="n">
        <f aca="false">SUM($L$2:L58)</f>
        <v>-35.5</v>
      </c>
      <c r="P58" s="0" t="str">
        <f aca="false">IF(K58&gt;0,K58,"")</f>
        <v/>
      </c>
      <c r="Q58" s="21" t="n">
        <f aca="false">IF(K58&lt;0,K58,"")</f>
        <v>-20</v>
      </c>
    </row>
    <row r="59" customFormat="false" ht="15" hidden="false" customHeight="false" outlineLevel="0" collapsed="false">
      <c r="A59" s="22" t="n">
        <v>58</v>
      </c>
      <c r="B59" s="22" t="s">
        <v>111</v>
      </c>
      <c r="C59" s="22" t="s">
        <v>119</v>
      </c>
      <c r="D59" s="23" t="s">
        <v>115</v>
      </c>
      <c r="E59" s="22" t="s">
        <v>116</v>
      </c>
      <c r="F59" s="22" t="s">
        <v>34</v>
      </c>
      <c r="G59" s="22" t="n">
        <v>55</v>
      </c>
      <c r="H59" s="22" t="n">
        <v>44</v>
      </c>
      <c r="I59" s="22" t="s">
        <v>35</v>
      </c>
      <c r="J59" s="24" t="n">
        <v>0.18</v>
      </c>
      <c r="K59" s="25" t="n">
        <v>-128</v>
      </c>
      <c r="L59" s="26" t="n">
        <f aca="false">K59/100</f>
        <v>-1.28</v>
      </c>
      <c r="M59" s="27" t="str">
        <f aca="false">IF(K59&gt;0,"WIN",IF(K59&lt;0,"LOSS","FLAT"))</f>
        <v>LOSS</v>
      </c>
      <c r="N59" s="26" t="n">
        <f aca="false">SUM($L$2:L59)</f>
        <v>-36.78</v>
      </c>
      <c r="P59" s="0" t="str">
        <f aca="false">IF(K59&gt;0,K59,"")</f>
        <v/>
      </c>
      <c r="Q59" s="21" t="n">
        <f aca="false">IF(K59&lt;0,K59,"")</f>
        <v>-128</v>
      </c>
    </row>
    <row r="60" customFormat="false" ht="15" hidden="false" customHeight="false" outlineLevel="0" collapsed="false">
      <c r="A60" s="15" t="n">
        <v>59</v>
      </c>
      <c r="B60" s="15" t="s">
        <v>111</v>
      </c>
      <c r="C60" s="15" t="s">
        <v>120</v>
      </c>
      <c r="D60" s="16" t="s">
        <v>99</v>
      </c>
      <c r="E60" s="15" t="s">
        <v>100</v>
      </c>
      <c r="F60" s="15" t="s">
        <v>34</v>
      </c>
      <c r="G60" s="15" t="n">
        <v>28</v>
      </c>
      <c r="H60" s="15" t="n">
        <v>23</v>
      </c>
      <c r="I60" s="15" t="s">
        <v>35</v>
      </c>
      <c r="J60" s="17" t="n">
        <v>0.13</v>
      </c>
      <c r="K60" s="18" t="n">
        <v>-63</v>
      </c>
      <c r="L60" s="19" t="n">
        <f aca="false">K60/100</f>
        <v>-0.63</v>
      </c>
      <c r="M60" s="20" t="str">
        <f aca="false">IF(K60&gt;0,"WIN",IF(K60&lt;0,"LOSS","FLAT"))</f>
        <v>LOSS</v>
      </c>
      <c r="N60" s="19" t="n">
        <f aca="false">SUM($L$2:L60)</f>
        <v>-37.41</v>
      </c>
      <c r="P60" s="0" t="str">
        <f aca="false">IF(K60&gt;0,K60,"")</f>
        <v/>
      </c>
      <c r="Q60" s="21" t="n">
        <f aca="false">IF(K60&lt;0,K60,"")</f>
        <v>-63</v>
      </c>
    </row>
    <row r="61" customFormat="false" ht="15" hidden="false" customHeight="false" outlineLevel="0" collapsed="false">
      <c r="A61" s="22" t="n">
        <v>60</v>
      </c>
      <c r="B61" s="22" t="s">
        <v>111</v>
      </c>
      <c r="C61" s="22" t="s">
        <v>121</v>
      </c>
      <c r="D61" s="23" t="s">
        <v>99</v>
      </c>
      <c r="E61" s="22" t="s">
        <v>105</v>
      </c>
      <c r="F61" s="22" t="s">
        <v>34</v>
      </c>
      <c r="G61" s="22" t="n">
        <v>31</v>
      </c>
      <c r="H61" s="22" t="n">
        <v>1</v>
      </c>
      <c r="I61" s="22" t="s">
        <v>35</v>
      </c>
      <c r="J61" s="24" t="n">
        <v>0.01</v>
      </c>
      <c r="K61" s="25" t="n">
        <v>-301</v>
      </c>
      <c r="L61" s="26" t="n">
        <f aca="false">K61/100</f>
        <v>-3.01</v>
      </c>
      <c r="M61" s="27" t="str">
        <f aca="false">IF(K61&gt;0,"WIN",IF(K61&lt;0,"LOSS","FLAT"))</f>
        <v>LOSS</v>
      </c>
      <c r="N61" s="26" t="n">
        <f aca="false">SUM($L$2:L61)</f>
        <v>-40.42</v>
      </c>
      <c r="P61" s="0" t="str">
        <f aca="false">IF(K61&gt;0,K61,"")</f>
        <v/>
      </c>
      <c r="Q61" s="21" t="n">
        <f aca="false">IF(K61&lt;0,K61,"")</f>
        <v>-301</v>
      </c>
    </row>
  </sheetData>
  <conditionalFormatting sqref="K2:L61">
    <cfRule type="cellIs" priority="2" operator="greaterThan" aboveAverage="0" equalAverage="0" bottom="0" percent="0" rank="0" text="" dxfId="0">
      <formula>0</formula>
    </cfRule>
    <cfRule type="cellIs" priority="3" operator="lessThan" aboveAverage="0" equalAverage="0" bottom="0" percent="0" rank="0" text="" dxfId="1">
      <formula>0</formula>
    </cfRule>
  </conditionalFormatting>
  <conditionalFormatting sqref="M2:M61">
    <cfRule type="cellIs" priority="4" operator="equal" aboveAverage="0" equalAverage="0" bottom="0" percent="0" rank="0" text="" dxfId="0">
      <formula>"WIN"</formula>
    </cfRule>
    <cfRule type="cellIs" priority="5" operator="equal" aboveAverage="0" equalAverage="0" bottom="0" percent="0" rank="0" text="" dxfId="1">
      <formula>"LOSS"</formula>
    </cfRule>
  </conditionalFormatting>
  <conditionalFormatting sqref="N2:N61">
    <cfRule type="cellIs" priority="6" operator="greaterThan" aboveAverage="0" equalAverage="0" bottom="0" percent="0" rank="0" text="" dxfId="0">
      <formula>0</formula>
    </cfRule>
    <cfRule type="cellIs" priority="7" operator="lessThan"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26"/>
    <col collapsed="false" customWidth="true" hidden="false" outlineLevel="0" max="3" min="3" style="0" width="95"/>
  </cols>
  <sheetData>
    <row r="2" customFormat="false" ht="27.75" hidden="false" customHeight="true" outlineLevel="0" collapsed="false">
      <c r="B2" s="28" t="s">
        <v>122</v>
      </c>
      <c r="C2" s="28"/>
    </row>
    <row r="4" customFormat="false" ht="15" hidden="false" customHeight="false" outlineLevel="0" collapsed="false">
      <c r="B4" s="29" t="s">
        <v>123</v>
      </c>
      <c r="C4" s="29"/>
    </row>
    <row r="5" customFormat="false" ht="69.75" hidden="false" customHeight="true" outlineLevel="0" collapsed="false">
      <c r="B5" s="30" t="s">
        <v>124</v>
      </c>
      <c r="C5" s="30"/>
    </row>
    <row r="7" customFormat="false" ht="15" hidden="false" customHeight="false" outlineLevel="0" collapsed="false">
      <c r="B7" s="29" t="s">
        <v>125</v>
      </c>
      <c r="C7" s="29"/>
    </row>
    <row r="8" customFormat="false" ht="55.5" hidden="false" customHeight="true" outlineLevel="0" collapsed="false">
      <c r="B8" s="30" t="s">
        <v>126</v>
      </c>
      <c r="C8" s="30"/>
    </row>
    <row r="10" customFormat="false" ht="15" hidden="false" customHeight="false" outlineLevel="0" collapsed="false">
      <c r="B10" s="29" t="s">
        <v>127</v>
      </c>
      <c r="C10" s="29"/>
    </row>
    <row r="11" customFormat="false" ht="55.5" hidden="false" customHeight="true" outlineLevel="0" collapsed="false">
      <c r="B11" s="30" t="s">
        <v>128</v>
      </c>
      <c r="C11" s="30"/>
    </row>
    <row r="13" customFormat="false" ht="15" hidden="false" customHeight="false" outlineLevel="0" collapsed="false">
      <c r="B13" s="29" t="s">
        <v>129</v>
      </c>
      <c r="C13" s="29"/>
    </row>
    <row r="14" customFormat="false" ht="18" hidden="false" customHeight="true" outlineLevel="0" collapsed="false">
      <c r="B14" s="31" t="s">
        <v>19</v>
      </c>
      <c r="C14" s="32" t="s">
        <v>130</v>
      </c>
    </row>
    <row r="15" customFormat="false" ht="31.5" hidden="false" customHeight="true" outlineLevel="0" collapsed="false">
      <c r="B15" s="31" t="s">
        <v>131</v>
      </c>
      <c r="C15" s="32" t="s">
        <v>132</v>
      </c>
    </row>
    <row r="16" customFormat="false" ht="31.5" hidden="false" customHeight="true" outlineLevel="0" collapsed="false">
      <c r="B16" s="31" t="s">
        <v>22</v>
      </c>
      <c r="C16" s="32" t="s">
        <v>133</v>
      </c>
    </row>
    <row r="17" customFormat="false" ht="18" hidden="false" customHeight="true" outlineLevel="0" collapsed="false">
      <c r="B17" s="31" t="s">
        <v>134</v>
      </c>
      <c r="C17" s="32" t="s">
        <v>135</v>
      </c>
    </row>
    <row r="18" customFormat="false" ht="18" hidden="false" customHeight="true" outlineLevel="0" collapsed="false">
      <c r="B18" s="31" t="s">
        <v>26</v>
      </c>
      <c r="C18" s="32" t="s">
        <v>136</v>
      </c>
    </row>
    <row r="19" customFormat="false" ht="18" hidden="false" customHeight="true" outlineLevel="0" collapsed="false">
      <c r="B19" s="31" t="s">
        <v>137</v>
      </c>
      <c r="C19" s="32" t="s">
        <v>138</v>
      </c>
    </row>
    <row r="20" customFormat="false" ht="15" hidden="false" customHeight="false" outlineLevel="0" collapsed="false">
      <c r="B20" s="29" t="s">
        <v>139</v>
      </c>
      <c r="C20" s="29"/>
    </row>
    <row r="21" customFormat="false" ht="55.5" hidden="false" customHeight="true" outlineLevel="0" collapsed="false">
      <c r="B21" s="30" t="s">
        <v>140</v>
      </c>
      <c r="C21" s="30"/>
    </row>
    <row r="23" customFormat="false" ht="15" hidden="false" customHeight="false" outlineLevel="0" collapsed="false">
      <c r="B23" s="29" t="s">
        <v>141</v>
      </c>
      <c r="C23" s="29"/>
    </row>
    <row r="24" customFormat="false" ht="69.75" hidden="false" customHeight="true" outlineLevel="0" collapsed="false">
      <c r="B24" s="30" t="s">
        <v>142</v>
      </c>
      <c r="C24" s="30"/>
    </row>
  </sheetData>
  <mergeCells count="12">
    <mergeCell ref="B2:C2"/>
    <mergeCell ref="B4:C4"/>
    <mergeCell ref="B5:C5"/>
    <mergeCell ref="B7:C7"/>
    <mergeCell ref="B8:C8"/>
    <mergeCell ref="B10:C10"/>
    <mergeCell ref="B11:C11"/>
    <mergeCell ref="B13:C13"/>
    <mergeCell ref="B20:C20"/>
    <mergeCell ref="B21:C21"/>
    <mergeCell ref="B23:C23"/>
    <mergeCell ref="B24:C24"/>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2026-07-11T18:21:04Z</dcterms:created>
  <dc:creator>openpyxl</dc:creator>
  <dc:description/>
  <dc:language>en-US</dc:language>
  <cp:lastModifiedBy/>
  <dcterms:modified xsi:type="dcterms:W3CDTF">2026-07-11T14:38:16Z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